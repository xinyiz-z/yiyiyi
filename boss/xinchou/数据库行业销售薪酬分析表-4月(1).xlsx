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分析表" sheetId="1" r:id="rId1"/>
    <sheet name="数据清洗结果" sheetId="2" r:id="rId2"/>
    <sheet name="Sheet1" sheetId="3" r:id="rId3"/>
    <sheet name="Sheet2" sheetId="4" r:id="rId4"/>
  </sheets>
  <definedNames>
    <definedName name="_xlnm._FilterDatabase" localSheetId="1" hidden="1">数据清洗结果!$A$1:$M$157</definedName>
    <definedName name="_xlnm._FilterDatabase" localSheetId="2" hidden="1">Sheet1!$A$1:$J$154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xiongxing</author>
  </authors>
  <commentList>
    <comment ref="D3" authorId="0">
      <text>
        <r>
          <rPr>
            <b/>
            <sz val="9"/>
            <rFont val="宋体"/>
            <charset val="134"/>
          </rPr>
          <t>xiongxing:</t>
        </r>
        <r>
          <rPr>
            <sz val="9"/>
            <rFont val="宋体"/>
            <charset val="134"/>
          </rPr>
          <t xml:space="preserve">
手动归类一下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<sst xmlns="http://schemas.openxmlformats.org/spreadsheetml/2006/main" count="2080" uniqueCount="569">
  <si>
    <t>一、初步的分类</t>
  </si>
  <si>
    <t>级别</t>
  </si>
  <si>
    <t>职级</t>
  </si>
  <si>
    <t>年限</t>
  </si>
  <si>
    <t>岗位名称</t>
  </si>
  <si>
    <t>在招岗位数量</t>
  </si>
  <si>
    <t>收入区间</t>
  </si>
  <si>
    <t>最高薪资</t>
  </si>
  <si>
    <t>最低薪资</t>
  </si>
  <si>
    <t>平均数</t>
  </si>
  <si>
    <t>中位值</t>
  </si>
  <si>
    <t>初级</t>
  </si>
  <si>
    <t>1-3年</t>
  </si>
  <si>
    <t>销售岗</t>
  </si>
  <si>
    <t>10-20k</t>
  </si>
  <si>
    <t>中级</t>
  </si>
  <si>
    <t>1-3年、3-5年</t>
  </si>
  <si>
    <t>销售经理</t>
  </si>
  <si>
    <t>15-40k</t>
  </si>
  <si>
    <t>高级</t>
  </si>
  <si>
    <t>3-5年、5-10年</t>
  </si>
  <si>
    <t>高级销售经理</t>
  </si>
  <si>
    <t>15-50k</t>
  </si>
  <si>
    <t>资深</t>
  </si>
  <si>
    <t>5-10年</t>
  </si>
  <si>
    <t>销售专家</t>
  </si>
  <si>
    <t>30-60k</t>
  </si>
  <si>
    <t>管理人员</t>
  </si>
  <si>
    <t>销售经理/总监</t>
  </si>
  <si>
    <t>二、市场薪酬水平</t>
  </si>
  <si>
    <t>1、计算每个职级的分位值：例如中位数（50分位）、以此类推</t>
  </si>
  <si>
    <t>参考函数：PERCENTILE</t>
  </si>
  <si>
    <t>市场10分位</t>
  </si>
  <si>
    <t>市场25分位</t>
  </si>
  <si>
    <t>市场50分位</t>
  </si>
  <si>
    <t>市场75分位</t>
  </si>
  <si>
    <t>市场90分位</t>
  </si>
  <si>
    <t>例如：年薪12万处于什么分位？</t>
  </si>
  <si>
    <t>2、计算每个职级的薪酬水平</t>
  </si>
  <si>
    <t>参考函数：LN函数取对数</t>
  </si>
  <si>
    <t>目的：薪酬统一到正态分布的水平</t>
  </si>
  <si>
    <t>3、求出斜率和截距对数，得到回归后的市场薪酬水平</t>
  </si>
  <si>
    <t>斜率参考函数：SLOPE函数；截距参考函数：INTERCEPT函数</t>
  </si>
  <si>
    <t>数据</t>
  </si>
  <si>
    <t>斜率</t>
  </si>
  <si>
    <t>截距对数</t>
  </si>
  <si>
    <t>4、计算回归后的市场薪酬水平</t>
  </si>
  <si>
    <t>参考函数：计算结果=exp(截距对数)*exp(斜率*职级)</t>
  </si>
  <si>
    <t>5、年薪</t>
  </si>
  <si>
    <t>明细表进行归类</t>
  </si>
  <si>
    <t>外部信息</t>
  </si>
  <si>
    <t>序号</t>
  </si>
  <si>
    <t>调研岗位</t>
  </si>
  <si>
    <t>调研公司</t>
  </si>
  <si>
    <t>岗位职责</t>
  </si>
  <si>
    <t>工作地点</t>
  </si>
  <si>
    <t>经验要求</t>
  </si>
  <si>
    <t>学历要求</t>
  </si>
  <si>
    <t>月度薪酬</t>
  </si>
  <si>
    <t>基本福利信息</t>
  </si>
  <si>
    <t>省份</t>
  </si>
  <si>
    <t>城市</t>
  </si>
  <si>
    <t>区域</t>
  </si>
  <si>
    <t>电科金仓</t>
  </si>
  <si>
    <t>大区</t>
  </si>
  <si>
    <t>福州</t>
  </si>
  <si>
    <t>鼓楼区</t>
  </si>
  <si>
    <t>湖前</t>
  </si>
  <si>
    <t>经验不限</t>
  </si>
  <si>
    <t>本科</t>
  </si>
  <si>
    <t>10-11K</t>
  </si>
  <si>
    <t>生日福利|定期体检|年终奖|餐补|股票期权|通讯补贴|带薪年假|交通补助|五险一金|绩效奖金|团建聚餐|零食下午茶|意外险|节日福利</t>
  </si>
  <si>
    <t>区域行业|数据库</t>
  </si>
  <si>
    <t>南昌</t>
  </si>
  <si>
    <t>青山湖区</t>
  </si>
  <si>
    <t>京东</t>
  </si>
  <si>
    <t>3-5年</t>
  </si>
  <si>
    <t>11-22K</t>
  </si>
  <si>
    <t>通讯补贴|交通补助|节日福利|年终奖|带薪年假|五险一金|绩效奖金|零食下午茶|生日福利|团建聚餐|意外险|定期体检|股票期权|餐补</t>
  </si>
  <si>
    <t>拉萨|基础软件</t>
  </si>
  <si>
    <t>拉萨</t>
  </si>
  <si>
    <t>城关区</t>
  </si>
  <si>
    <t>市政府</t>
  </si>
  <si>
    <t>15-20K</t>
  </si>
  <si>
    <t>节日福利|交通补助|带薪年假|五险一金|团建聚餐|意外险|通讯补贴|年终奖|定期体检|餐补|生日福利|零食下午茶|股票期权|绩效奖金</t>
  </si>
  <si>
    <t>区域行业</t>
  </si>
  <si>
    <t>闽侯县</t>
  </si>
  <si>
    <t>新西客站</t>
  </si>
  <si>
    <t>12-24K</t>
  </si>
  <si>
    <t>年终奖|生日福利|意外险|餐补|交通补助|节日福利|团建聚餐|带薪年假|定期体检|绩效奖金|通讯补贴|零食下午茶|股票期权|五险一金</t>
  </si>
  <si>
    <t>杭州</t>
  </si>
  <si>
    <t>西湖区</t>
  </si>
  <si>
    <t>西溪</t>
  </si>
  <si>
    <t>15-30K</t>
  </si>
  <si>
    <t>通讯补贴|零食下午茶|生日福利|餐补|年终奖|节日福利|团建聚餐|股票期权|绩效奖金|带薪年假|交通补助|定期体检|意外险|五险一金</t>
  </si>
  <si>
    <t>生态</t>
  </si>
  <si>
    <t>北京</t>
  </si>
  <si>
    <t>朝阳区</t>
  </si>
  <si>
    <t>望京</t>
  </si>
  <si>
    <t>15-25K</t>
  </si>
  <si>
    <t>生日福利|绩效奖金|交通补助|意外险|带薪年假|节日福利|餐补|五险一金|股票期权|年终奖|通讯补贴|零食下午茶|定期体检|团建聚餐</t>
  </si>
  <si>
    <t>管理</t>
  </si>
  <si>
    <t>交通行业</t>
  </si>
  <si>
    <t>广州</t>
  </si>
  <si>
    <t>越秀区</t>
  </si>
  <si>
    <t>北京路</t>
  </si>
  <si>
    <t>通讯补贴|定期体检|股票期权|五险一金|团建聚餐|交通补助|餐补|带薪年假|年终奖|节日福利|绩效奖金|意外险|生日福利|零食下午茶</t>
  </si>
  <si>
    <t>部委行业</t>
  </si>
  <si>
    <t>生日福利|年终奖|意外险|通讯补贴|零食下午茶|餐补|五险一金|股票期权|绩效奖金|交通补助|带薪年假|定期体检|团建聚餐|节日福利</t>
  </si>
  <si>
    <t>宁波</t>
  </si>
  <si>
    <t>鄞州区</t>
  </si>
  <si>
    <t>福明</t>
  </si>
  <si>
    <t>带薪年假|五险一金|意外险|定期体检|年终奖|餐补|绩效奖金|团建聚餐|通讯补贴|交通补助|零食下午茶|股票期权|节日福利|生日福利</t>
  </si>
  <si>
    <t>事业部总经理</t>
  </si>
  <si>
    <t>企业|政府/社会团体|数据库|区域行业|事业部管理</t>
  </si>
  <si>
    <t>10年以上</t>
  </si>
  <si>
    <t>35-65K</t>
  </si>
  <si>
    <t>交通补助|节日福利|意外险|通讯补贴|团建聚餐|生日福利|年终奖|股票期权|定期体检|五险一金|绩效奖金|零食下午茶|餐补|带薪年假</t>
  </si>
  <si>
    <t>太原</t>
  </si>
  <si>
    <t>小店区</t>
  </si>
  <si>
    <t>学府街</t>
  </si>
  <si>
    <t>意外险|生日福利|节日福利|股票期权|零食下午茶|团建聚餐|通讯补贴|带薪年假|餐补|交通补助|定期体检|年终奖|绩效奖金|五险一金</t>
  </si>
  <si>
    <t>东风中路</t>
  </si>
  <si>
    <t>团建聚餐|带薪年假|节日福利|定期体检|年终奖|通讯补贴|绩效奖金|股票期权|意外险|交通补助|生日福利|零食下午茶|餐补|五险一金</t>
  </si>
  <si>
    <t>深圳</t>
  </si>
  <si>
    <t>福田区</t>
  </si>
  <si>
    <t>石厦</t>
  </si>
  <si>
    <t>20-28K</t>
  </si>
  <si>
    <t>交通补助|带薪年假|生日福利|意外险|团建聚餐|节日福利|年终奖|五险一金|餐补|绩效奖金|通讯补贴|定期体检|股票期权|零食下午茶</t>
  </si>
  <si>
    <t>电力行业</t>
  </si>
  <si>
    <t>绩效奖金|零食下午茶|生日福利|年终奖|带薪年假|节日福利|餐补|股票期权|团建聚餐|五险一金|定期体检|通讯补贴|意外险|交通补助</t>
  </si>
  <si>
    <t>销售总监</t>
  </si>
  <si>
    <t>上海</t>
  </si>
  <si>
    <t>浦东新区</t>
  </si>
  <si>
    <t>陆家嘴</t>
  </si>
  <si>
    <t>20-40K</t>
  </si>
  <si>
    <t>绩效奖金|带薪年假|团建聚餐|节日福利|通讯补贴|交通补助|零食下午茶|意外险|餐补|股票期权|定期体检|五险一金|生日福利|年终奖</t>
  </si>
  <si>
    <t>济南</t>
  </si>
  <si>
    <t>历下区</t>
  </si>
  <si>
    <t>奥体</t>
  </si>
  <si>
    <t>12-20K</t>
  </si>
  <si>
    <t>股票期权|绩效奖金|年终奖|交通补助|通讯补贴|团建聚餐|带薪年假|意外险|零食下午茶|定期体检|餐补|生日福利|节日福利|五险一金</t>
  </si>
  <si>
    <t>国防行业</t>
  </si>
  <si>
    <t>绩效奖金|定期体检|节日福利|生日福利|餐补|年终奖|股票期权|零食下午茶|交通补助|通讯补贴|带薪年假|意外险|团建聚餐|五险一金</t>
  </si>
  <si>
    <t>石油|数据库|石化</t>
  </si>
  <si>
    <t>兵团|软件|数据库</t>
  </si>
  <si>
    <t>乌鲁木齐</t>
  </si>
  <si>
    <t>20-35K</t>
  </si>
  <si>
    <t>节日福利|年终奖|交通补助|意外险|团建聚餐|餐补|通讯补贴|五险一金|股票期权|绩效奖金|零食下午茶|生日福利|定期体检|带薪年假</t>
  </si>
  <si>
    <t>北京海量数据</t>
  </si>
  <si>
    <t>杭州渠道</t>
  </si>
  <si>
    <t>滨江区</t>
  </si>
  <si>
    <t>长河</t>
  </si>
  <si>
    <t>11-20K·24薪</t>
  </si>
  <si>
    <t>带薪年假|员工旅游|健身房|五险一金|补充医疗保险|股票期权|零食下午茶|餐补|定期体检|节日福利</t>
  </si>
  <si>
    <t>交通安平医疗国央企教育党政</t>
  </si>
  <si>
    <t>东街口</t>
  </si>
  <si>
    <t>员工旅游|带薪年假|健身房|定期体检|五险一金|餐补|补充医疗保险|节日福利|零食下午茶|股票期权</t>
  </si>
  <si>
    <t>长宁区</t>
  </si>
  <si>
    <t>北新泾</t>
  </si>
  <si>
    <t>10-15K·24薪</t>
  </si>
  <si>
    <t>补充医疗保险|股票期权|节日福利|健身房|零食下午茶|带薪年假|定期体检|五险一金|员工旅游|餐补</t>
  </si>
  <si>
    <t>医疗教育政府大企业</t>
  </si>
  <si>
    <t>武汉</t>
  </si>
  <si>
    <t>江汉区</t>
  </si>
  <si>
    <t>常青</t>
  </si>
  <si>
    <t>12-15K·24薪</t>
  </si>
  <si>
    <t>节日福利|餐补|带薪年假|五险一金|股票期权|定期体检|健身房|补充医疗保险|零食下午茶|员工旅游</t>
  </si>
  <si>
    <t>交通行业|航司|空管|机场</t>
  </si>
  <si>
    <t>海淀区</t>
  </si>
  <si>
    <t>学院路</t>
  </si>
  <si>
    <t>13-14K·24薪</t>
  </si>
  <si>
    <t>员工旅游|股票期权|定期体检|补充医疗保险|健身房|五险一金|餐补|零食下午茶|节日福利|带薪年假</t>
  </si>
  <si>
    <t>政府/教育/医疗/企业/交通/能源</t>
  </si>
  <si>
    <t>13-25K·24薪</t>
  </si>
  <si>
    <t>定期体检|员工旅游|股票期权|五险一金|零食下午茶|餐补|补充医疗保险|节日福利|健身房|带薪年假</t>
  </si>
  <si>
    <t>软件/信息化服务销售经验|医疗/大健康|定制解决方案|先进制造|B端市场开发经验|面销/陌拜经验|业务开拓能力|收集分析市场信息|客户关系维护|新客户开发|计算机相关学历|商务谈判技巧|市场营销相关学历|较多外勤|企业服务|通信/网络设备|制定销售策略和目标|软件/SaaS|互联网/科技</t>
  </si>
  <si>
    <t>长沙</t>
  </si>
  <si>
    <t>开福区</t>
  </si>
  <si>
    <t>北辰三角洲</t>
  </si>
  <si>
    <t>15-20K·24薪</t>
  </si>
  <si>
    <t>零食下午茶|带薪年假|五险一金|补充医疗保险|餐补|健身房|节日福利|股票期权|员工旅游|定期体检</t>
  </si>
  <si>
    <t>信创软件</t>
  </si>
  <si>
    <t>南京</t>
  </si>
  <si>
    <t>建邺区</t>
  </si>
  <si>
    <t>江东</t>
  </si>
  <si>
    <t>带薪年假|餐补|五险一金|节日福利|股票期权|员工旅游|补充医疗保险|定期体检|健身房|零食下午茶</t>
  </si>
  <si>
    <t>兰州</t>
  </si>
  <si>
    <t>东湖</t>
  </si>
  <si>
    <t>15-25K·14薪</t>
  </si>
  <si>
    <t>五险一金|股票期权|带薪年假|餐补|员工旅游|健身房|零食下午茶|节日福利|补充医疗保险|定期体检</t>
  </si>
  <si>
    <t>ka-信息化产品</t>
  </si>
  <si>
    <t>珠海</t>
  </si>
  <si>
    <t>香洲区</t>
  </si>
  <si>
    <t>拱北</t>
  </si>
  <si>
    <t>15-25K·24薪</t>
  </si>
  <si>
    <t>带薪年假|补充医疗保险|五险一金|餐补|零食下午茶|股票期权|节日福利|员工旅游|定期体检|健身房</t>
  </si>
  <si>
    <t>航司轨交铁路</t>
  </si>
  <si>
    <t>股票期权|五险一金|零食下午茶|定期体检|餐补|带薪年假|节日福利|健身房|补充医疗保险|员工旅游</t>
  </si>
  <si>
    <t>大客户销售经理/总监</t>
  </si>
  <si>
    <t>新客户开发|客户关系维护|软件/SaaS|通信/网络设备|B端市场开发经验|软件/信息化服务销售经验|信创|计算机|软件|硬件|IT服务</t>
  </si>
  <si>
    <t>南山区</t>
  </si>
  <si>
    <t>科技园</t>
  </si>
  <si>
    <t>13-26K·24薪</t>
  </si>
  <si>
    <t>员工旅游|补充医疗保险|定期体检|零食下午茶|健身房|五险一金|餐补|带薪年假|股票期权|节日福利</t>
  </si>
  <si>
    <t>医疗/公安/交通-软件/信息化服务销售经验|商务谈判技巧|B端市场开发经验|通信/网络设备|软件/SaaS|业务开拓能力|互联网/科技</t>
  </si>
  <si>
    <t>北营</t>
  </si>
  <si>
    <t>12-20K·24薪</t>
  </si>
  <si>
    <t>员工旅游|零食下午茶|餐补|定期体检|节日福利|补充医疗保险|带薪年假|股票期权|健身房|五险一金</t>
  </si>
  <si>
    <t>信创赛道</t>
  </si>
  <si>
    <t>五险一金|节日福利|定期体检|健身房|带薪年假|员工旅游|补充医疗保险|餐补|股票期权|零食下午茶</t>
  </si>
  <si>
    <t>软件/信息化服务销售经验|文教卫|B端市场开发经验|教育|医疗|医院|党政</t>
  </si>
  <si>
    <t>海口</t>
  </si>
  <si>
    <t>龙华区</t>
  </si>
  <si>
    <t>滨海大道</t>
  </si>
  <si>
    <t>14-25K·24薪</t>
  </si>
  <si>
    <t>五险一金|定期体检|股票期权|餐补|带薪年假|员工旅游|零食下午茶|健身房|节日福利|补充医疗保险</t>
  </si>
  <si>
    <t>公检法司/教育/医疗/高校/粤东医疗</t>
  </si>
  <si>
    <t>零食下午茶|补充医疗保险|带薪年假|股票期权|定期体检|节日福利|餐补|健身房|五险一金|员工旅游</t>
  </si>
  <si>
    <t>具有线下渠道销售经验|较强的商务谈判能力|较强的渠道拓展能力|硬件/网络设备|较强的沟通协调能力|较强的市场分析能力|软件/SaaS|渠道/机构客户开发|渠道关系维护</t>
  </si>
  <si>
    <t>节日福利|股票期权|定期体检|带薪年假|五险一金|餐补|健身房|补充医疗保险|零食下午茶|员工旅游</t>
  </si>
  <si>
    <t>烟草-信创软件</t>
  </si>
  <si>
    <t>餐补|定期体检|零食下午茶|健身房|带薪年假|补充医疗保险|节日福利|股票期权|五险一金|员工旅游</t>
  </si>
  <si>
    <t>IT</t>
  </si>
  <si>
    <t>昆明</t>
  </si>
  <si>
    <t>呈贡区</t>
  </si>
  <si>
    <t>龙城</t>
  </si>
  <si>
    <t>五险一金|带薪年假|定期体检|餐补|健身房|股票期权|员工旅游|节日福利|零食下午茶|补充医疗保险</t>
  </si>
  <si>
    <t>政府/教育/医疗/企业/交通等</t>
  </si>
  <si>
    <t>秀英区</t>
  </si>
  <si>
    <t>西海岸</t>
  </si>
  <si>
    <t>五险一金|零食下午茶|健身房|股票期权|补充医疗保险|定期体检|餐补|节日福利|带薪年假|员工旅游</t>
  </si>
  <si>
    <t>湖南军工行业</t>
  </si>
  <si>
    <t>芙蓉区</t>
  </si>
  <si>
    <t>韭菜园</t>
  </si>
  <si>
    <t>员工旅游|餐补|节日福利|定期体检|带薪年假|健身房|零食下午茶|股票期权|补充医疗保险|五险一金</t>
  </si>
  <si>
    <t>股票期权|补充医疗保险|五险一金|员工旅游|带薪年假|节日福利|餐补|定期体检|零食下午茶|健身房</t>
  </si>
  <si>
    <t>生态销售-BD-TOB|TOG|IT|信创</t>
  </si>
  <si>
    <t>红谷滩区</t>
  </si>
  <si>
    <t>红角洲</t>
  </si>
  <si>
    <t>节日福利|补充医疗保险|餐补|健身房|带薪年假|员工旅游|零食下午茶|定期体检|股票期权|五险一金</t>
  </si>
  <si>
    <t>信创产品-ka</t>
  </si>
  <si>
    <t>佛山</t>
  </si>
  <si>
    <t>禅城区</t>
  </si>
  <si>
    <t>石湾</t>
  </si>
  <si>
    <t>股票期权|节日福利|员工旅游|五险一金|零食下午茶|餐补|定期体检|健身房|带薪年假|补充医疗保险</t>
  </si>
  <si>
    <t>军工行业</t>
  </si>
  <si>
    <t>西安</t>
  </si>
  <si>
    <t>雁塔区</t>
  </si>
  <si>
    <t>高新路</t>
  </si>
  <si>
    <t>健身房|定期体检|带薪年假|补充医疗保险|节日福利|餐补|零食下午茶|股票期权|五险一金|员工旅游</t>
  </si>
  <si>
    <t>IT信创软件</t>
  </si>
  <si>
    <t>上城区</t>
  </si>
  <si>
    <t>钱江新城</t>
  </si>
  <si>
    <t>13-26K</t>
  </si>
  <si>
    <t>定期体检|股票期权|带薪年假|员工旅游|零食下午茶|餐补|补充医疗保险|节日福利|五险一金|健身房</t>
  </si>
  <si>
    <t>国防军工</t>
  </si>
  <si>
    <t>12-24K·24薪</t>
  </si>
  <si>
    <t>员工旅游|五险一金|定期体检|零食下午茶|餐补|健身房|节日福利|补充医疗保险|带薪年假|股票期权</t>
  </si>
  <si>
    <t>信创|企业客户</t>
  </si>
  <si>
    <t>成都</t>
  </si>
  <si>
    <t>武侯区</t>
  </si>
  <si>
    <t>桂溪</t>
  </si>
  <si>
    <t>五险一金|餐补|股票期权|带薪年假|零食下午茶|节日福利|员工旅游|补充医疗保险|定期体检|健身房</t>
  </si>
  <si>
    <t>IT信创</t>
  </si>
  <si>
    <t>天河区</t>
  </si>
  <si>
    <t>天河公园</t>
  </si>
  <si>
    <t>员工旅游|定期体检|股票期权|带薪年假|补充医疗保险|零食下午茶|餐补|节日福利|健身房|五险一金</t>
  </si>
  <si>
    <t>面销/陌拜|政府/社会团体|软件/企业服务产品|医疗/大健康|先进制造|对企业/机构（ToB）销售经验|企业服务|企业（ToB）|面销/陌拜经验|互联网/科技|O2O|其他行业</t>
  </si>
  <si>
    <t>五险一金|员工旅游|零食下午茶|定期体检|带薪年假|健身房|餐补|节日福利|股票期权|补充医疗保险</t>
  </si>
  <si>
    <t>信创|集成|软件/SaaS|交通|信息化|党政</t>
  </si>
  <si>
    <t>14-20K·24薪</t>
  </si>
  <si>
    <t>定期体检|补充医疗保险|带薪年假|五险一金|零食下午茶|员工旅游|健身房|节日福利|餐补|股票期权</t>
  </si>
  <si>
    <t>国网-B端市场开发经验|软件/信息化服务销售经验</t>
  </si>
  <si>
    <t>定期体检|带薪年假|员工旅游|补充医疗保险|五险一金|健身房|节日福利|股票期权|零食下午茶|餐补</t>
  </si>
  <si>
    <t>公检法司/教育/医疗/教育局/考试院</t>
  </si>
  <si>
    <t>健身房|节日福利|定期体检|员工旅游|带薪年假|五险一金|股票期权|餐补|零食下午茶|补充医疗保险</t>
  </si>
  <si>
    <t>安平方向</t>
  </si>
  <si>
    <t>15-30K·24薪</t>
  </si>
  <si>
    <t>股票期权|五险一金|带薪年假|节日福利|补充医疗保险|员工旅游|定期体检|餐补|零食下午茶|健身房</t>
  </si>
  <si>
    <t>深圳渠道</t>
  </si>
  <si>
    <t>龙岗区</t>
  </si>
  <si>
    <t>平湖</t>
  </si>
  <si>
    <t>15-16K·24薪</t>
  </si>
  <si>
    <t>股票期权|定期体检|零食下午茶|节日福利|餐补|带薪年假|员工旅游|五险一金|补充医疗保险|健身房</t>
  </si>
  <si>
    <t>安平/医疗/交通/晋南地市方向-软件/信息化服务销售经验|较多外勤|B端市场开发经验|制定销售策略和目标|软件/SaaS|业务开拓能力|互联网/科技|客户关系维护|新客户开发</t>
  </si>
  <si>
    <t>健身房|补充医疗保险|带薪年假|五险一金|餐补|定期体检|员工旅游|节日福利|股票期权|零食下午茶</t>
  </si>
  <si>
    <t>软件/信息化服务销售经验|B端市场开发经验|软件/SaaS|新客户开发</t>
  </si>
  <si>
    <t>哈尔滨</t>
  </si>
  <si>
    <t>南岗区</t>
  </si>
  <si>
    <t>新春</t>
  </si>
  <si>
    <t>8-13K·24薪</t>
  </si>
  <si>
    <t>带薪年假|补充医疗保险|员工旅游|股票期权|定期体检|零食下午茶|餐补|节日福利|五险一金|健身房</t>
  </si>
  <si>
    <t>信息化产品-ka</t>
  </si>
  <si>
    <t>东莞</t>
  </si>
  <si>
    <t>凤岗镇</t>
  </si>
  <si>
    <t>节日福利|五险一金|员工旅游|定期体检|补充医疗保险|餐补|股票期权|带薪年假|零食下午茶|健身房</t>
  </si>
  <si>
    <t>股票期权|餐补|健身房|员工旅游|补充医疗保险|五险一金|带薪年假|零食下午茶|节日福利|定期体检</t>
  </si>
  <si>
    <t>政府、医疗、交通-软件/信息化服务销售经验|B端市场开发经验|软件/SaaS</t>
  </si>
  <si>
    <t>克拉玛依</t>
  </si>
  <si>
    <t>克拉玛依区</t>
  </si>
  <si>
    <t>三福商圈</t>
  </si>
  <si>
    <t>零食下午茶|五险一金|定期体检|股票期权|餐补|员工旅游|节日福利|带薪年假|补充医疗保险|健身房</t>
  </si>
  <si>
    <t>官渡区</t>
  </si>
  <si>
    <t>昆明站</t>
  </si>
  <si>
    <t>股票期权|补充医疗保险|零食下午茶|带薪年假|员工旅游|五险一金|健身房|节日福利|餐补|定期体检</t>
  </si>
  <si>
    <t>企业（ToB）|对企业/机构（ToB）销售经验|军工央企|IT行业软硬件</t>
  </si>
  <si>
    <t>五险一金|补充医疗保险|健身房|股票期权|员工旅游|带薪年假|餐补|节日福利|零食下午茶|定期体检</t>
  </si>
  <si>
    <t>教育/公安/企业/高速-软件/信息化服务销售经验|商务谈判技巧|B端市场开发经验|通信/网络设备|软件/SaaS|业务开拓能力|互联网/科技</t>
  </si>
  <si>
    <t>石家庄</t>
  </si>
  <si>
    <t>长安区</t>
  </si>
  <si>
    <t>跃进</t>
  </si>
  <si>
    <t>定期体检|五险一金|健身房|餐补|零食下午茶|带薪年假|员工旅游|补充医疗保险|股票期权|节日福利</t>
  </si>
  <si>
    <t>软件/信息化服务销售经验|较多外勤|B端市场开发经验|面销/陌拜经验|软件/SaaS|客户关系维护|新客户开发</t>
  </si>
  <si>
    <t>二里庄</t>
  </si>
  <si>
    <t>餐补|零食下午茶|健身房|带薪年假|股票期权|五险一金|员工旅游|补充医疗保险|节日福利|定期体检</t>
  </si>
  <si>
    <t>客户经理-政府/社会团体|安平|轨道交通|医疗|生态|IT</t>
  </si>
  <si>
    <t>青岛</t>
  </si>
  <si>
    <t>市北区</t>
  </si>
  <si>
    <t>敦化路</t>
  </si>
  <si>
    <t>15-20K·14薪</t>
  </si>
  <si>
    <t>健身房|补充医疗保险|定期体检|五险一金|节日福利|餐补|带薪年假|股票期权|零食下午茶|员工旅游</t>
  </si>
  <si>
    <t>面销/陌拜经验|软件/企业服务产品|面销/陌拜</t>
  </si>
  <si>
    <t>定期体检|餐补|节日福利|员工旅游|五险一金|补充医疗保险|健身房|零食下午茶|带薪年假|股票期权</t>
  </si>
  <si>
    <t>较多外勤|制定销售策略和目标|软件/SaaS|互联网/科技|客户关系维护|新客户开发</t>
  </si>
  <si>
    <t>定期体检|带薪年假|节日福利|股票期权|五险一金|零食下午茶|餐补|员工旅游|补充医疗保险|健身房</t>
  </si>
  <si>
    <t>生态渠道-BD|集成|硬件/网络设备|软件/SaaS|生态|ISV|渠道/机构客户开发|渠道</t>
  </si>
  <si>
    <t>12-18K·24薪</t>
  </si>
  <si>
    <t>定期体检|补充医疗保险|五险一金|股票期权|节日福利|零食下午茶|带薪年假|餐补|员工旅游|健身房</t>
  </si>
  <si>
    <t>行业渠道经理-代理商/经销商招募|较强的商务谈判能力|较强的渠道拓展能力|具有渠道运营管理经验|较强的沟通协调能力|硬件/网络设备|代理商体系搭建|渠道/机构客户开发|渠道关系维护|具有线下渠道销售经验|具有硬件/通信从业经验|渠道运营管理|企业服务|软件/SaaS</t>
  </si>
  <si>
    <t>五险一金|股票期权|定期体检|节日福利|带薪年假|补充医疗保险|员工旅游|餐补|零食下午茶|健身房</t>
  </si>
  <si>
    <t>制定销售策略和目标|新客户开发</t>
  </si>
  <si>
    <t>水磨沟区</t>
  </si>
  <si>
    <t>六道湾</t>
  </si>
  <si>
    <t>20-30K</t>
  </si>
  <si>
    <t>补充医疗保险|健身房|定期体检|股票期权|带薪年假|节日福利|零食下午茶|五险一金|员工旅游|餐补</t>
  </si>
  <si>
    <t>生态合作经理-信创/AI软件</t>
  </si>
  <si>
    <t>珠江新城</t>
  </si>
  <si>
    <t>11-18K·24薪</t>
  </si>
  <si>
    <t>节日福利|股票期权|补充医疗保险|餐补|五险一金|零食下午茶|健身房|员工旅游|带薪年假|定期体检</t>
  </si>
  <si>
    <t>软件/SaaS|互联网/科技</t>
  </si>
  <si>
    <t>沈阳</t>
  </si>
  <si>
    <t>浑南区</t>
  </si>
  <si>
    <t>员工旅游|股票期权|餐补|五险一金|定期体检|带薪年假|零食下午茶|节日福利|健身房|补充医疗保险</t>
  </si>
  <si>
    <t>哈密</t>
  </si>
  <si>
    <t>伊州区</t>
  </si>
  <si>
    <t>火箭农场</t>
  </si>
  <si>
    <t>健身房|补充医疗保险|零食下午茶|股票期权|定期体检|五险一金|带薪年假|员工旅游|餐补|节日福利</t>
  </si>
  <si>
    <t>公路|机场|城市道路|轨交|航司</t>
  </si>
  <si>
    <t>棠下</t>
  </si>
  <si>
    <t>五险一金|员工旅游|定期体检|零食下午茶|带薪年假|健身房|餐补|股票期权|节日福利|补充医疗保险</t>
  </si>
  <si>
    <t>公安行业-软件/信息化服务销售经验|商务谈判技巧|B端市场开发经验|通信/网络设备|软件/SaaS|业务开拓能力|互联网/科技</t>
  </si>
  <si>
    <t>信创产品-GIS</t>
  </si>
  <si>
    <t>员工旅游|五险一金|定期体检|带薪年假|节日福利|补充医疗保险|健身房|股票期权|餐补|零食下午茶</t>
  </si>
  <si>
    <t>企业（ToB）|对企业/机构（ToB）销售经验|软件|信息化</t>
  </si>
  <si>
    <t>清河</t>
  </si>
  <si>
    <t>定期体检|节日福利|股票期权|补充医疗保险|员工旅游|健身房|带薪年假|餐补|零食下午茶|五险一金</t>
  </si>
  <si>
    <t>B端市场开发经验|军工行业|央国企行业客户资源|IT行业</t>
  </si>
  <si>
    <t>健身房|补充医疗保险|定期体检|带薪年假|员工旅游|五险一金|股票期权|节日福利|餐补|零食下午茶</t>
  </si>
  <si>
    <t>高校教育-软件/信息化服务销售经验|较多外勤|B端市场开发经验|制定销售策略和目标|软件/SaaS|业务开拓能力|互联网/科技|客户关系维护|新客户开发</t>
  </si>
  <si>
    <t>补充医疗保险|零食下午茶|节日福利|带薪年假|员工旅游|定期体检|五险一金|股票期权|健身房|餐补</t>
  </si>
  <si>
    <t>生态渠道-BD|集成|硬件/网络设备|软件/SaaS|生态|ISV|渠道|渠道关系维护</t>
  </si>
  <si>
    <t>南宁</t>
  </si>
  <si>
    <t>五险一金|员工旅游|补充医疗保险|节日福利|带薪年假|定期体检|健身房|股票期权|零食下午茶|餐补</t>
  </si>
  <si>
    <t>软件/信息化服务销售经验|较多外勤|B端市场开发经验|制定销售策略和目标|软件/SaaS|客户关系维护|新客户开发</t>
  </si>
  <si>
    <t>乔司</t>
  </si>
  <si>
    <t>零食下午茶|补充医疗保险|定期体检|节日福利|带薪年假|员工旅游|五险一金|健身房|餐补|股票期权</t>
  </si>
  <si>
    <t>央国企制造业方向-客户关系维护|新客户开发|收集分析市场信息|通信/网络设备|软件/SaaS|较多外勤|B端市场开发经验|软件/信息化服务销售经验|面销/陌拜经验|业务开拓能力|IT服务|软件|数据库</t>
  </si>
  <si>
    <t>补充医疗保险|零食下午茶|定期体检|餐补|五险一金|节日福利|员工旅游|股票期权|带薪年假|健身房</t>
  </si>
  <si>
    <t>北京国家电网|数据局|北京党政|机要局|部委</t>
  </si>
  <si>
    <t>20-40K·20薪</t>
  </si>
  <si>
    <t>定期体检|五险一金|带薪年假|零食下午茶|节日福利|员工旅游|健身房|补充医疗保险|股票期权|餐补</t>
  </si>
  <si>
    <t>AI向量软件-新客户开发|收集分析市场信息|客户关系维护|软件/SaaS|通信/网络设备|较多外勤|B端市场开发经验|软件/信息化服务销售经验|业务开拓能力|计算机相关学历|商务谈判技巧|互联网/科技|先进制造|企业服务</t>
  </si>
  <si>
    <t>补充医疗保险|节日福利|员工旅游|股票期权|带薪年假|餐补|健身房|定期体检|零食下午茶|五险一金</t>
  </si>
  <si>
    <t>新客户开发|收集分析市场信息|软件/SaaS|B端市场开发经验</t>
  </si>
  <si>
    <t>郑州</t>
  </si>
  <si>
    <t>金水区</t>
  </si>
  <si>
    <t>CBD</t>
  </si>
  <si>
    <t>20-30K·16薪</t>
  </si>
  <si>
    <t>餐补|股票期权|五险一金|健身房|零食下午茶|节日福利|定期体检|员工旅游|带薪年假|补充医疗保险</t>
  </si>
  <si>
    <t>政府/社会团体|对企业/机构（ToB）销售经验|软件/企业服务产品|面销/陌拜|互联网/科技</t>
  </si>
  <si>
    <t>零食下午茶|补充医疗保险|餐补|节日福利|股票期权|定期体检|员工旅游|带薪年假|健身房|五险一金</t>
  </si>
  <si>
    <t>大数据局/国央企/交通/医疗/教育</t>
  </si>
  <si>
    <t>天心区</t>
  </si>
  <si>
    <t>新开铺</t>
  </si>
  <si>
    <t>五险一金|节日福利|定期体检|带薪年假|股票期权|零食下午茶|餐补|健身房|员工旅游|补充医疗保险</t>
  </si>
  <si>
    <t>生态-带教</t>
  </si>
  <si>
    <t>员工旅游|带薪年假|零食下午茶|五险一金|股票期权|补充医疗保险|节日福利|定期体检|健身房|餐补</t>
  </si>
  <si>
    <t>教育/企业/政府/轨交-软件/信息化服务销售经验|IT|信创|数据库|tob|tog</t>
  </si>
  <si>
    <t>补充医疗保险|五险一金|节日福利|股票期权|带薪年假|员工旅游|定期体检|餐补|健身房|零食下午茶</t>
  </si>
  <si>
    <t>补充医疗保险|零食下午茶|健身房|五险一金|员工旅游|节日福利|餐补|定期体检|带薪年假|股票期权</t>
  </si>
  <si>
    <t>软件/SaaS|B端市场开发经验|国资委企业|央企|军工央企|能源央企|制造业</t>
  </si>
  <si>
    <t>五险一金|定期体检|带薪年假|员工旅游|股票期权|零食下午茶|补充医疗保险|健身房|节日福利|餐补</t>
  </si>
  <si>
    <t>教育行业-软件/信息化服务销售经验|商务谈判技巧|B端市场开发经验|通信/网络设备|软件/SaaS|业务开拓能力|互联网/科技</t>
  </si>
  <si>
    <t>重庆</t>
  </si>
  <si>
    <t>渝中区</t>
  </si>
  <si>
    <t>解放碑</t>
  </si>
  <si>
    <t>零食下午茶|股票期权|定期体检|五险一金|补充医疗保险|员工旅游|餐补|节日福利|带薪年假|健身房</t>
  </si>
  <si>
    <t>教育高校-软件/信息化服务销售经验|较多外勤|B端市场开发经验|制定销售策略和目标|软件/SaaS|业务开拓能力|互联网/科技|客户关系维护|新客户开发</t>
  </si>
  <si>
    <t>定期体检|节日福利|健身房|股票期权|零食下午茶|员工旅游|带薪年假|餐补|补充医疗保险|五险一金</t>
  </si>
  <si>
    <t>五险一金|定期体检|带薪年假|股票期权|餐补|补充医疗保险|零食下午茶|员工旅游|节日福利|健身房</t>
  </si>
  <si>
    <t>软件/信息化服务销售经验|企业|教育|医疗|网络安全|信息化</t>
  </si>
  <si>
    <t>定期体检|健身房|带薪年假|补充医疗保险|五险一金|员工旅游|餐补|节日福利|零食下午茶|股票期权</t>
  </si>
  <si>
    <t>信创产品销售|医疗软件产品销售|医疗客户|软件产品销售</t>
  </si>
  <si>
    <t>天津</t>
  </si>
  <si>
    <t>南开区</t>
  </si>
  <si>
    <t>王顶堤</t>
  </si>
  <si>
    <t>股票期权|节日福利|零食下午茶|员工旅游|餐补|带薪年假|五险一金|健身房|补充医疗保险|定期体检</t>
  </si>
  <si>
    <t>AI向量数据库-新客户开发|定制解决方案|客户关系维护|软件/SaaS|通信/网络设备|较多外勤|B端市场开发经验|软件/信息化服务销售经验|金融服务销售经验|商务谈判技巧|业务开拓能力|计算机相关学历|互联网/科技|互联网金融</t>
  </si>
  <si>
    <t>五险一金|定期体检|餐补|股票期权|健身房|带薪年假|补充医疗保险|节日福利|零食下午茶|员工旅游</t>
  </si>
  <si>
    <t>军工客户-客户关系维护|新客户开发|软件/SaaS|较多外勤|B端市场开发经验|软件/信息化服务销售经验|业务开拓能力|安全|软件</t>
  </si>
  <si>
    <t>岳麓区</t>
  </si>
  <si>
    <t>望城坡</t>
  </si>
  <si>
    <t>12-22K·24薪</t>
  </si>
  <si>
    <t>补充医疗保险|零食下午茶|员工旅游|节日福利|健身房|五险一金|餐补|带薪年假|股票期权|定期体检</t>
  </si>
  <si>
    <t>软件/信息化服务销售经验|商务谈判技巧|定制解决方案|B端市场开发经验|面销/陌拜经验|通信/网络设备|制定销售策略和目标|软件/SaaS|业务开拓能力|互联网/科技|客户关系维护</t>
  </si>
  <si>
    <t>12-17K·24薪</t>
  </si>
  <si>
    <t>餐补|员工旅游|零食下午茶|节日福利|股票期权|五险一金|健身房|定期体检|带薪年假|补充医疗保险</t>
  </si>
  <si>
    <t>14-28K·24薪</t>
  </si>
  <si>
    <t>员工旅游|定期体检|餐补|补充医疗保险|五险一金|健身房|带薪年假|股票期权|零食下午茶|节日福利</t>
  </si>
  <si>
    <t>央企-制定销售策略和目标|客户关系维护|B端市场开发经验|软件/信息化服务销售经验</t>
  </si>
  <si>
    <t>健身房|五险一金|带薪年假|员工旅游|餐补|节日福利|定期体检|股票期权|零食下午茶|补充医疗保险</t>
  </si>
  <si>
    <t>软件/信息化服务销售经验|商务谈判技巧|较多外勤|B端市场开发经验|制定销售策略和目标|软件/SaaS|客户关系维护|新客户开发</t>
  </si>
  <si>
    <t>苏州</t>
  </si>
  <si>
    <t>虎丘区</t>
  </si>
  <si>
    <t>科技城</t>
  </si>
  <si>
    <t>餐补|定期体检|五险一金|员工旅游|股票期权|零食下午茶|补充医疗保险|节日福利|带薪年假|健身房</t>
  </si>
  <si>
    <t>G端</t>
  </si>
  <si>
    <t>合肥</t>
  </si>
  <si>
    <t>蜀山区</t>
  </si>
  <si>
    <t>补充医疗保险|零食下午茶|股票期权|餐补|带薪年假|员工旅游|节日福利|健身房|五险一金|定期体检</t>
  </si>
  <si>
    <t>政府、医疗、交通-企业（ToB）|面销/陌拜|软件|信创|信息化</t>
  </si>
  <si>
    <t>零食下午茶|员工旅游|带薪年假|定期体检|健身房|五险一金|餐补|节日福利|补充医疗保险|股票期权</t>
  </si>
  <si>
    <t>企业（ToB）|面销/陌拜|软件|信创|信息化</t>
  </si>
  <si>
    <t>五险一金|补充医疗保险|餐补|定期体检|带薪年假|员工旅游|零食下午茶|节日福利|健身房|股票期权</t>
  </si>
  <si>
    <t>医疗行业</t>
  </si>
  <si>
    <t>带薪年假|员工旅游|节日福利|零食下午茶|餐补|五险一金|补充医疗保险|健身房|定期体检|股票期权</t>
  </si>
  <si>
    <t>信创产业|面销/陌拜|软件/企业服务产品|对企业/机构（ToB）销售经验|企业服务|企业（ToB）|国产数据库|面销/陌拜经验</t>
  </si>
  <si>
    <t>喀什地区</t>
  </si>
  <si>
    <t>喀什市</t>
  </si>
  <si>
    <t>师范学院</t>
  </si>
  <si>
    <t>零食下午茶|健身房|节日福利|定期体检|员工旅游|股票期权|餐补|带薪年假|五险一金|补充医疗保险</t>
  </si>
  <si>
    <t>生态经理-较强的商务谈判能力|渠道运营管理|较强的渠道拓展能力|较强的沟通协调能力|软件/SaaS|渠道/机构客户开发|渠道关系维护</t>
  </si>
  <si>
    <t>闵行区</t>
  </si>
  <si>
    <t>虹桥</t>
  </si>
  <si>
    <t>五险一金|节日福利|定期体检|补充医疗保险|零食下午茶|员工旅游|餐补|股票期权|健身房|带薪年假</t>
  </si>
  <si>
    <t>20-40K·24薪</t>
  </si>
  <si>
    <t>股票期权|补充医疗保险|零食下午茶|带薪年假|定期体检|五险一金|节日福利|健身房|餐补|员工旅游</t>
  </si>
  <si>
    <t>餐补|员工旅游|股票期权|五险一金|定期体检|带薪年假|节日福利|健身房|零食下午茶|补充医疗保险</t>
  </si>
  <si>
    <t>阿里云</t>
  </si>
  <si>
    <t>AI</t>
  </si>
  <si>
    <t>鱼化寨</t>
  </si>
  <si>
    <t>大专</t>
  </si>
  <si>
    <t>10-15K</t>
  </si>
  <si>
    <t>餐补|股票期权|五险一金|带薪年假|免费班车|员工旅游|年终奖|补充医疗保险|定期体检</t>
  </si>
  <si>
    <t>太阳宫</t>
  </si>
  <si>
    <t>30-55K·15薪</t>
  </si>
  <si>
    <t>绩效奖金|免费班车|餐补|定期体检|节日福利|年终奖|带薪年假|五险一金</t>
  </si>
  <si>
    <t>电话销售|软件/企业服务产品|不接受居家办公|对企业/机构（ToB）销售经验|企业服务|企业（ToB）|电话销售经验|网络营销经验</t>
  </si>
  <si>
    <t>12-16K</t>
  </si>
  <si>
    <t>定期体检|免费班车|五险一金|餐补|带薪年假|股票期权|员工旅游|补充医疗保险|年终奖</t>
  </si>
  <si>
    <t>对企业/机构（ToB）销售经验|SaaS|面销/陌拜经验|会展销售|其他行业|电话销售|面销/陌拜|软件/企业服务产品|其他产品/服务|企业服务|政府/社会团体（ToG）|金融产品|电话销售经验|互联网/科技</t>
  </si>
  <si>
    <t>8-13K·13薪</t>
  </si>
  <si>
    <t>定期体检|补充医疗保险|年终奖|五险一金|带薪年假|免费班车|员工旅游|股票期权|餐补</t>
  </si>
  <si>
    <t>BD-AI公有云</t>
  </si>
  <si>
    <t>张江</t>
  </si>
  <si>
    <t>25-50K·16薪</t>
  </si>
  <si>
    <t>带薪年假|免费班车|绩效奖金|餐补|年终奖|节日福利|定期体检|五险一金</t>
  </si>
  <si>
    <t>客户管理方向</t>
  </si>
  <si>
    <t>15-16K</t>
  </si>
  <si>
    <t>绩效奖金|节日福利|餐补|年终奖|免费班车|五险一金|定期体检|带薪年假</t>
  </si>
  <si>
    <t>无影分销渠道销售专家</t>
  </si>
  <si>
    <t>国内业务-代理商/经销商招募|渠道运营管理|代理商体系搭建|软件/SaaS|具有线上渠道销售经验|渠道/机构客户开发|渠道关系维护</t>
  </si>
  <si>
    <t>30-60K·16薪</t>
  </si>
  <si>
    <t>节日福利|带薪年假|免费班车|餐补|年终奖|五险一金|定期体检|绩效奖金</t>
  </si>
  <si>
    <t>政府/社会团体|对企业/机构（ToB）销售经验|软件/企业服务产品|AI|人工智能|云计算|大数据</t>
  </si>
  <si>
    <t>五险一金|餐补|带薪年假|定期体检|节日福利|年终奖|绩效奖金|免费班车</t>
  </si>
  <si>
    <t>面销/陌拜|软件/企业服务产品|对企业/机构（ToB）销售经验|网络销售|企业（ToB）|理工科背景|互联网/科技</t>
  </si>
  <si>
    <t>22-40K·16薪</t>
  </si>
  <si>
    <t>节日福利|餐补|带薪年假|免费班车|五险一金|绩效奖金|定期体检|年终奖</t>
  </si>
  <si>
    <t>面销/陌拜|政府/社会团体|软件/企业服务产品|对企业/机构（ToB）销售经验|其他行业</t>
  </si>
  <si>
    <t>30-50K·13薪</t>
  </si>
  <si>
    <t>定期体检|绩效奖金|年终奖|餐补|节日福利|五险一金|免费班车|带薪年假</t>
  </si>
  <si>
    <t>bd</t>
  </si>
  <si>
    <t>带薪年假|五险一金|餐补|年终奖|免费班车|节日福利|定期体检|绩效奖金</t>
  </si>
  <si>
    <t>BTE</t>
  </si>
  <si>
    <t>35-65K·16薪</t>
  </si>
  <si>
    <t>节日福利|五险一金|免费班车|定期体检|绩效奖金|带薪年假|年终奖|餐补</t>
  </si>
  <si>
    <t>三墩</t>
  </si>
  <si>
    <t>25-40K</t>
  </si>
  <si>
    <t>节日福利|餐补|免费班车|绩效奖金|五险一金|定期体检|年终奖|带薪年假</t>
  </si>
  <si>
    <t>五险一金|年终奖|绩效奖金|餐补|免费班车|节日福利|定期体检|带薪年假</t>
  </si>
  <si>
    <t>企业（ToB）</t>
  </si>
  <si>
    <t>30-35K</t>
  </si>
  <si>
    <t>餐补|定期体检|年终奖|节日福利|免费班车|带薪年假|五险一金|绩效奖金</t>
  </si>
  <si>
    <t>客户开发与维护|对机构(ToB)销售经验|商务谈判能力|大中型企业销售经验|市场拓展能力|技术转销售|计算机相关学历|市场营销相关学历|大模型|maas|AI|云计算</t>
  </si>
  <si>
    <t>30-50K·16薪</t>
  </si>
  <si>
    <t>节日福利|绩效奖金|年终奖|免费班车|带薪年假|定期体检|餐补|五险一金</t>
  </si>
  <si>
    <t>企业（ToB）|对企业/机构（ToB）销售经验|软件/企业服务产品|互联网/科技|云计算|AI</t>
  </si>
  <si>
    <t>免费班车|绩效奖金|定期体检|餐补|年终奖|节日福利|五险一金|带薪年假</t>
  </si>
  <si>
    <t>云计算行业KA客户经理</t>
  </si>
  <si>
    <t>深圳湾</t>
  </si>
  <si>
    <t>25-30K</t>
  </si>
  <si>
    <t>餐补|免费班车|节日福利|五险一金|年终奖|定期体检|绩效奖金|带薪年假</t>
  </si>
  <si>
    <t>泛互</t>
  </si>
  <si>
    <t>餐补|节日福利|带薪年假|免费班车|年终奖|五险一金|绩效奖金|定期体检</t>
  </si>
  <si>
    <t>公共云Maas方向-软件/企业服务产品|对企业/机构（ToB）销售经验|企业服务|企业（ToB）|AI|大模型|互联网/科技|云计算</t>
  </si>
  <si>
    <t>西善桥</t>
  </si>
  <si>
    <t>20-40K·16薪</t>
  </si>
  <si>
    <t>带薪年假|餐补|绩效奖金|定期体检|年终奖|免费班车|五险一金|节日福利</t>
  </si>
  <si>
    <t>阿里云计算有限公司</t>
  </si>
  <si>
    <t>软件/信息化服务销售经验|B端市场开发经验|面销/陌拜经验|收集分析市场信息|业务开拓能力|客户关系维护|新客户开发|计算机相关学历|商务谈判技巧|较多外勤|企业服务|通信/网络设备|制定销售策略和目标|软件/SaaS|互联网/科技</t>
  </si>
  <si>
    <t>硕士</t>
  </si>
  <si>
    <t>40-60K·18薪</t>
  </si>
  <si>
    <t>年终奖|免费班车|定期体检|带薪年假|绩效奖金|节日福利|餐补|五险一金</t>
  </si>
  <si>
    <t>系统集成|云服务|计算机/通信相关专业|销售</t>
  </si>
  <si>
    <t>名门世家</t>
  </si>
  <si>
    <t>20-40K·13薪</t>
  </si>
  <si>
    <t>节日福利|免费班车|五险一金|年终奖|餐补|定期体检|带薪年假|绩效奖金</t>
  </si>
  <si>
    <t>商业技术工程师（新势力）</t>
  </si>
  <si>
    <t>26-50K·16薪</t>
  </si>
  <si>
    <t>定期体检|节日福利|五险一金|免费班车|年终奖|餐补|带薪年假|绩效奖金</t>
  </si>
  <si>
    <t>商业技术工程师（AI、MaaS方向）</t>
  </si>
  <si>
    <t>商业技术工程师-软件/信息化服务销售经验|计算机相关学历|商务谈判技巧|B端市场开发经验|制定销售策略和目标|业务开拓能力|互联网/科技|客户关系维护</t>
  </si>
  <si>
    <t>节日福利|免费班车|年终奖|绩效奖金|定期体检|带薪年假|餐补|五险一金</t>
  </si>
  <si>
    <t>五险一金|补充医疗保险|免费班车|年终奖|定期体检|带薪年假|股票期权|餐补|员工旅游</t>
  </si>
  <si>
    <t>五险一金|带薪年假|补充医疗保险|免费班车|股票期权|餐补|年终奖|定期体检|员工旅游</t>
  </si>
  <si>
    <t>软件/企业服务产品|对企业/机构（ToB）销售经验|企业（ToB）|互联网/科技</t>
  </si>
  <si>
    <t>绩效奖金|五险一金|餐补|定期体检|年终奖|节日福利|带薪年假|免费班车</t>
  </si>
  <si>
    <t>石羊场</t>
  </si>
  <si>
    <t>30-60K·15薪</t>
  </si>
  <si>
    <t>免费班车|定期体检|五险一金|餐补|绩效奖金|年终奖|节日福利|带薪年假</t>
  </si>
  <si>
    <t>国际化AI</t>
  </si>
  <si>
    <t>25-45K·16薪</t>
  </si>
  <si>
    <t>年终奖|带薪年假|定期体检|餐补|免费班车|五险一金|绩效奖金|节日福利</t>
  </si>
  <si>
    <t>公共云Maas方向</t>
  </si>
  <si>
    <t>餐补|免费班车|节日福利|带薪年假|绩效奖金|年终奖|五险一金|定期体检</t>
  </si>
  <si>
    <t>面销/陌拜|政府/社会团体|软件/企业服务产品|对企业/机构（ToB）销售经验|面销/陌拜经验|其他行业</t>
  </si>
  <si>
    <t>30-60K·13薪</t>
  </si>
  <si>
    <t>五险一金|餐补|年终奖|绩效奖金|节日福利|免费班车|带薪年假|定期体检</t>
  </si>
  <si>
    <t>智能-AI</t>
  </si>
  <si>
    <t>节日福利|免费班车|餐补|带薪年假|绩效奖金|年终奖|定期体检|五险一金</t>
  </si>
  <si>
    <t>国内业务</t>
  </si>
  <si>
    <t>定期体检|免费班车|餐补|带薪年假|节日福利|五险一金|年终奖|绩效奖金</t>
  </si>
  <si>
    <t>云计算</t>
  </si>
  <si>
    <t>五险一金|年终奖|员工旅游|带薪年假|股票期权|补充医疗保险|餐补|免费班车|定期体检</t>
  </si>
  <si>
    <t>销售经验|软件/企业服务产品|普通话标准|企业服务|企业（ToB）|售前服务|电话销售经验|沟通能力强</t>
  </si>
  <si>
    <t>定期体检|员工旅游|股票期权|年终奖|五险一金|补充医疗保险|带薪年假|免费班车|餐补</t>
  </si>
  <si>
    <t>节日福利|绩效奖金|带薪年假|定期体检|餐补|年终奖|免费班车|五险一金</t>
  </si>
  <si>
    <t>定期体检|节日福利|带薪年假|绩效奖金|年终奖|餐补|五险一金|免费班车</t>
  </si>
  <si>
    <t>具有线下渠道销售经验|代理商/经销商招募|渠道运营管理|代理商体系搭建|渠道/机构客户开发|渠道关系维护</t>
  </si>
  <si>
    <t>带薪年假|年终奖|免费班车|五险一金|节日福利|绩效奖金|定期体检|餐补</t>
  </si>
  <si>
    <t>商业技术工程师-公共云Maas方向</t>
  </si>
  <si>
    <t>徐汇区</t>
  </si>
  <si>
    <t>徐汇滨江</t>
  </si>
  <si>
    <t>餐补|带薪年假|年终奖|五险一金|免费班车|定期体检|节日福利|绩效奖金</t>
  </si>
  <si>
    <t>商业技术工程师-企业KA售前</t>
  </si>
  <si>
    <t>免费班车|餐补|绩效奖金|年终奖|节日福利|定期体检|五险一金|带薪年假</t>
  </si>
  <si>
    <t>下限</t>
  </si>
  <si>
    <t>上限</t>
  </si>
  <si>
    <t>年终</t>
  </si>
  <si>
    <t>中位数</t>
  </si>
  <si>
    <t>24薪</t>
  </si>
  <si>
    <t>14薪</t>
  </si>
  <si>
    <t>20薪</t>
  </si>
  <si>
    <t>16薪</t>
  </si>
  <si>
    <t>15薪</t>
  </si>
  <si>
    <t>13薪</t>
  </si>
  <si>
    <t>18薪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</si>
</sst>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</numFmts>
  <fonts count="25">
    <font>
      <sz val="11"/>
      <color theme="1"/>
      <name val="宋体"/>
      <charset val="134"/>
      <scheme val="minor"/>
    </font>
    <font>
      <sz val="12"/>
      <color rgb="FF000000"/>
      <name val="Arial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3" fillId="2" borderId="0" xfId="0" applyFont="1" applyFill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48"/>
  <sheetViews>
    <sheetView tabSelected="1" zoomScale="140" zoomScaleNormal="140" topLeftCell="A19" workbookViewId="0">
      <selection activeCell="H5" sqref="H5"/>
    </sheetView>
  </sheetViews>
  <sheetFormatPr defaultColWidth="9" defaultRowHeight="16.5"/>
  <cols>
    <col min="1" max="1" width="9" style="6"/>
    <col min="2" max="2" width="10.125" style="6" customWidth="1"/>
    <col min="3" max="3" width="13.875" style="6" customWidth="1"/>
    <col min="4" max="4" width="16.425" style="6" customWidth="1"/>
    <col min="5" max="5" width="32.5833333333333" style="6" customWidth="1"/>
    <col min="6" max="7" width="13.875" style="6" customWidth="1"/>
    <col min="8" max="11" width="12" style="6" customWidth="1"/>
    <col min="12" max="16384" width="9" style="6"/>
  </cols>
  <sheetData>
    <row r="1" spans="2:11">
      <c r="B1" s="18" t="s">
        <v>0</v>
      </c>
    </row>
    <row r="2" spans="2:11"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2:11">
      <c r="B3" s="19" t="s">
        <v>11</v>
      </c>
      <c r="C3" s="20">
        <v>1</v>
      </c>
      <c r="D3" s="21" t="s">
        <v>12</v>
      </c>
      <c r="E3" s="22" t="s">
        <v>13</v>
      </c>
      <c r="F3" s="23">
        <v>23</v>
      </c>
      <c r="G3" s="23" t="s">
        <v>14</v>
      </c>
      <c r="H3" s="23">
        <v>24</v>
      </c>
      <c r="I3" s="23">
        <v>8</v>
      </c>
      <c r="J3" s="23">
        <v>14.0217391304348</v>
      </c>
      <c r="K3" s="23">
        <v>14</v>
      </c>
    </row>
    <row r="4" spans="2:11">
      <c r="B4" s="19" t="s">
        <v>15</v>
      </c>
      <c r="C4" s="20">
        <v>2</v>
      </c>
      <c r="D4" s="19" t="s">
        <v>16</v>
      </c>
      <c r="E4" s="19" t="s">
        <v>17</v>
      </c>
      <c r="F4" s="23">
        <v>70</v>
      </c>
      <c r="G4" s="23" t="s">
        <v>18</v>
      </c>
      <c r="H4" s="23">
        <v>60</v>
      </c>
      <c r="I4" s="23">
        <v>8</v>
      </c>
      <c r="J4" s="23">
        <v>21.3214285714286</v>
      </c>
      <c r="K4" s="23">
        <v>19.25</v>
      </c>
    </row>
    <row r="5" spans="2:11">
      <c r="B5" s="19" t="s">
        <v>19</v>
      </c>
      <c r="C5" s="20">
        <v>3</v>
      </c>
      <c r="D5" s="19" t="s">
        <v>20</v>
      </c>
      <c r="E5" s="19" t="s">
        <v>21</v>
      </c>
      <c r="F5" s="23">
        <v>40</v>
      </c>
      <c r="G5" s="23" t="s">
        <v>22</v>
      </c>
      <c r="H5" s="23">
        <v>65</v>
      </c>
      <c r="I5" s="23">
        <v>10</v>
      </c>
      <c r="J5" s="23">
        <v>27.5625</v>
      </c>
      <c r="K5" s="23">
        <v>22.5</v>
      </c>
    </row>
    <row r="6" spans="2:11">
      <c r="B6" s="19" t="s">
        <v>23</v>
      </c>
      <c r="C6" s="20">
        <v>4</v>
      </c>
      <c r="D6" s="19" t="s">
        <v>24</v>
      </c>
      <c r="E6" s="19" t="s">
        <v>25</v>
      </c>
      <c r="F6" s="23">
        <v>8</v>
      </c>
      <c r="G6" s="23" t="s">
        <v>26</v>
      </c>
      <c r="H6" s="23">
        <v>65</v>
      </c>
      <c r="I6" s="23">
        <v>26</v>
      </c>
      <c r="J6" s="23">
        <v>44.75</v>
      </c>
      <c r="K6" s="23">
        <v>45</v>
      </c>
    </row>
    <row r="7" spans="2:11">
      <c r="B7" s="19" t="s">
        <v>27</v>
      </c>
      <c r="C7" s="20">
        <v>5</v>
      </c>
      <c r="D7" s="24"/>
      <c r="E7" s="19" t="s">
        <v>28</v>
      </c>
      <c r="F7" s="23">
        <v>12</v>
      </c>
      <c r="G7" s="23" t="s">
        <v>18</v>
      </c>
      <c r="H7" s="23">
        <v>65</v>
      </c>
      <c r="I7" s="23">
        <v>13</v>
      </c>
      <c r="J7" s="23">
        <v>25.7916666666667</v>
      </c>
      <c r="K7" s="23">
        <v>22.5</v>
      </c>
    </row>
    <row r="10" spans="2:11">
      <c r="B10" s="18" t="s">
        <v>29</v>
      </c>
    </row>
    <row r="11" spans="2:11">
      <c r="B11" s="6" t="s">
        <v>30</v>
      </c>
      <c r="G11" s="6" t="s">
        <v>31</v>
      </c>
    </row>
    <row r="12" spans="2:11">
      <c r="B12" s="19" t="s">
        <v>2</v>
      </c>
      <c r="C12" s="19" t="s">
        <v>32</v>
      </c>
      <c r="D12" s="19" t="s">
        <v>33</v>
      </c>
      <c r="E12" s="19" t="s">
        <v>34</v>
      </c>
      <c r="F12" s="19" t="s">
        <v>35</v>
      </c>
      <c r="G12" s="19" t="s">
        <v>36</v>
      </c>
      <c r="I12" s="6" t="s">
        <v>37</v>
      </c>
    </row>
    <row r="13" spans="2:11">
      <c r="B13" s="19">
        <v>1</v>
      </c>
      <c r="C13" s="19">
        <f>PERCENTILE(Sheet2!$D2:$D24,0.1)</f>
        <v>12.5</v>
      </c>
      <c r="D13" s="19">
        <f>PERCENTILE(Sheet2!$D2:$D24,0.25)</f>
        <v>12.5</v>
      </c>
      <c r="E13" s="19">
        <f>PERCENTILE(Sheet2!$D2:$D24,0.5)</f>
        <v>14</v>
      </c>
      <c r="F13" s="19">
        <f>PERCENTILE(Sheet2!$D2:$D24,0.75)</f>
        <v>15.25</v>
      </c>
      <c r="G13" s="19">
        <f>PERCENTILE(Sheet2!$D2:$D24,0.9)</f>
        <v>15.9</v>
      </c>
    </row>
    <row r="14" spans="2:11">
      <c r="B14" s="19">
        <v>2</v>
      </c>
      <c r="C14" s="19">
        <f>PERCENTILE(Sheet2!$H2:$H71,0.1)</f>
        <v>15.5</v>
      </c>
      <c r="D14" s="19">
        <f>PERCENTILE(Sheet2!$H2:$H71,0.25)</f>
        <v>17.5</v>
      </c>
      <c r="E14" s="19">
        <f>PERCENTILE(Sheet2!$H2:$H71,0.5)</f>
        <v>19.25</v>
      </c>
      <c r="F14" s="19">
        <f>PERCENTILE(Sheet2!$H2:$H71,0.75)</f>
        <v>22.5</v>
      </c>
      <c r="G14" s="19">
        <f>PERCENTILE(Sheet2!$H2:$H71,0.9)</f>
        <v>31.4</v>
      </c>
    </row>
    <row r="15" spans="2:11">
      <c r="B15" s="19">
        <v>3</v>
      </c>
      <c r="C15" s="19">
        <f>PERCENTILE(Sheet2!$L2:$L41,0.1)</f>
        <v>15.5</v>
      </c>
      <c r="D15" s="19">
        <f>PERCENTILE(Sheet2!$L2:$L41,0.25)</f>
        <v>16</v>
      </c>
      <c r="E15" s="19">
        <f>PERCENTILE(Sheet2!$L2:$L41,0.5)</f>
        <v>22.5</v>
      </c>
      <c r="F15" s="19">
        <f>PERCENTILE(Sheet2!$L2:$L41,0.75)</f>
        <v>40</v>
      </c>
      <c r="G15" s="19">
        <f>PERCENTILE(Sheet2!$L2:$L41,0.9)</f>
        <v>45</v>
      </c>
    </row>
    <row r="16" spans="2:11">
      <c r="B16" s="19">
        <v>4</v>
      </c>
      <c r="C16" s="19">
        <f>PERCENTILE(Sheet2!$P2:$P9,0.1)</f>
        <v>42.9</v>
      </c>
      <c r="D16" s="19">
        <f>PERCENTILE(Sheet2!$P2:$P9,0.25)</f>
        <v>45</v>
      </c>
      <c r="E16" s="19">
        <f>PERCENTILE(Sheet2!$P2:$P9,0.5)</f>
        <v>45</v>
      </c>
      <c r="F16" s="19">
        <f>PERCENTILE(Sheet2!$P2:$P9,0.75)</f>
        <v>45</v>
      </c>
      <c r="G16" s="19">
        <f>PERCENTILE(Sheet2!$P2:$P9,0.9)</f>
        <v>46.5</v>
      </c>
    </row>
    <row r="17" spans="2:11">
      <c r="B17" s="19">
        <v>5</v>
      </c>
      <c r="C17" s="19">
        <f>PERCENTILE(Sheet2!$T2:$T13,0.1)</f>
        <v>20</v>
      </c>
      <c r="D17" s="19">
        <f>PERCENTILE(Sheet2!$T2:$T13,0.25)</f>
        <v>21.875</v>
      </c>
      <c r="E17" s="19">
        <f>PERCENTILE(Sheet2!$T2:$T13,0.5)</f>
        <v>22.5</v>
      </c>
      <c r="F17" s="19">
        <f>PERCENTILE(Sheet2!$T2:$T13,0.75)</f>
        <v>28.125</v>
      </c>
      <c r="G17" s="19">
        <f>PERCENTILE(Sheet2!$T2:$T13,0.9)</f>
        <v>30</v>
      </c>
    </row>
    <row r="19" spans="2:11">
      <c r="B19" s="6" t="s">
        <v>38</v>
      </c>
      <c r="G19" s="6" t="s">
        <v>39</v>
      </c>
    </row>
    <row r="20" spans="2:11">
      <c r="B20" s="19" t="s">
        <v>2</v>
      </c>
      <c r="C20" s="19" t="s">
        <v>32</v>
      </c>
      <c r="D20" s="19" t="s">
        <v>33</v>
      </c>
      <c r="E20" s="19" t="s">
        <v>34</v>
      </c>
      <c r="F20" s="19" t="s">
        <v>35</v>
      </c>
      <c r="G20" s="19" t="s">
        <v>36</v>
      </c>
      <c r="I20" s="6" t="s">
        <v>40</v>
      </c>
    </row>
    <row r="21" spans="2:11">
      <c r="B21" s="19">
        <v>1</v>
      </c>
      <c r="C21" s="25">
        <f>LN(C13)</f>
        <v>2.52572864430826</v>
      </c>
      <c r="D21" s="25">
        <f>LN(D13)</f>
        <v>2.52572864430826</v>
      </c>
      <c r="E21" s="25">
        <f>LN(E13)</f>
        <v>2.63905732961526</v>
      </c>
      <c r="F21" s="25">
        <f>LN(F13)</f>
        <v>2.72457950305342</v>
      </c>
      <c r="G21" s="25">
        <f>LN(G13)</f>
        <v>2.76631910922619</v>
      </c>
      <c r="H21"/>
      <c r="I21"/>
      <c r="J21"/>
      <c r="K21"/>
    </row>
    <row r="22" spans="2:11">
      <c r="B22" s="19">
        <v>2</v>
      </c>
      <c r="C22" s="25">
        <f>LN(C14)</f>
        <v>2.7408400239252</v>
      </c>
      <c r="D22" s="25">
        <f>LN(D14)</f>
        <v>2.86220088092947</v>
      </c>
      <c r="E22" s="25">
        <f>LN(E14)</f>
        <v>2.95751106073379</v>
      </c>
      <c r="F22" s="25">
        <f>LN(F14)</f>
        <v>3.11351530921037</v>
      </c>
      <c r="G22" s="25">
        <f>LN(G14)</f>
        <v>3.44680789291421</v>
      </c>
    </row>
    <row r="23" spans="2:11">
      <c r="B23" s="19">
        <v>3</v>
      </c>
      <c r="C23" s="25">
        <f>LN(C15)</f>
        <v>2.7408400239252</v>
      </c>
      <c r="D23" s="25">
        <f>LN(D15)</f>
        <v>2.77258872223978</v>
      </c>
      <c r="E23" s="25">
        <f>LN(E15)</f>
        <v>3.11351530921037</v>
      </c>
      <c r="F23" s="25">
        <f>LN(F15)</f>
        <v>3.68887945411394</v>
      </c>
      <c r="G23" s="25">
        <f>LN(G15)</f>
        <v>3.80666248977032</v>
      </c>
    </row>
    <row r="24" spans="2:11">
      <c r="B24" s="19">
        <v>4</v>
      </c>
      <c r="C24" s="25">
        <f>LN(C16)</f>
        <v>3.75887182593397</v>
      </c>
      <c r="D24" s="25">
        <f>LN(D16)</f>
        <v>3.80666248977032</v>
      </c>
      <c r="E24" s="25">
        <f>LN(E16)</f>
        <v>3.80666248977032</v>
      </c>
      <c r="F24" s="25">
        <f>LN(F16)</f>
        <v>3.80666248977032</v>
      </c>
      <c r="G24" s="25">
        <f>LN(G16)</f>
        <v>3.83945231259331</v>
      </c>
    </row>
    <row r="25" spans="2:11">
      <c r="B25" s="19">
        <v>5</v>
      </c>
      <c r="C25" s="25">
        <f>LN(C17)</f>
        <v>2.99573227355399</v>
      </c>
      <c r="D25" s="25">
        <f>LN(D17)</f>
        <v>3.08534443224368</v>
      </c>
      <c r="E25" s="25">
        <f>LN(E17)</f>
        <v>3.11351530921037</v>
      </c>
      <c r="F25" s="25">
        <f>LN(F17)</f>
        <v>3.33665886052458</v>
      </c>
      <c r="G25" s="25">
        <f>LN(G17)</f>
        <v>3.40119738166216</v>
      </c>
    </row>
    <row r="27" spans="2:11">
      <c r="B27" s="6" t="s">
        <v>41</v>
      </c>
      <c r="G27" s="26" t="s">
        <v>42</v>
      </c>
    </row>
    <row r="28" spans="2:11">
      <c r="B28" s="19" t="s">
        <v>43</v>
      </c>
      <c r="C28" s="19" t="s">
        <v>32</v>
      </c>
      <c r="D28" s="19" t="s">
        <v>33</v>
      </c>
      <c r="E28" s="19" t="s">
        <v>34</v>
      </c>
      <c r="F28" s="19" t="s">
        <v>35</v>
      </c>
      <c r="G28" s="19" t="s">
        <v>36</v>
      </c>
    </row>
    <row r="29" spans="2:11">
      <c r="B29" s="19" t="s">
        <v>44</v>
      </c>
      <c r="C29" s="25" cm="1">
        <f t="array" ref="C29">SLOPE(C21:C25,$B21:$B25)</f>
        <v>0.195803906050024</v>
      </c>
      <c r="D29" s="25" cm="1">
        <f t="array" ref="D29">SLOPE(D21:D25,$B21:$B25)</f>
        <v>0.20636931847117</v>
      </c>
      <c r="E29" s="25" cm="1">
        <f t="array" ref="E29">SLOPE(E21:E25,$B21:$B25)</f>
        <v>0.179806738822676</v>
      </c>
      <c r="F29" s="25" cm="1">
        <f t="array" ref="F29">SLOPE(F21:F25,$B21:$B25)</f>
        <v>0.191730589550227</v>
      </c>
      <c r="G29" s="25" cm="1">
        <f t="array" ref="G29">SLOPE(G21:G25,$B21:$B25)</f>
        <v>0.166240096455104</v>
      </c>
    </row>
    <row r="30" spans="2:11">
      <c r="B30" s="19" t="s">
        <v>45</v>
      </c>
      <c r="C30" s="25" cm="1">
        <f t="array" ref="C30">INTERCEPT(C21:C25,$B21:$B25)</f>
        <v>2.36499084017925</v>
      </c>
      <c r="D30" s="25" cm="1">
        <f t="array" ref="D30">INTERCEPT(D21:D25,$B21:$B25)</f>
        <v>2.39139707848479</v>
      </c>
      <c r="E30" s="25" cm="1">
        <f t="array" ref="E30">INTERCEPT(E21:E25,$B21:$B25)</f>
        <v>2.58663208324</v>
      </c>
      <c r="F30" s="25" cm="1">
        <f t="array" ref="F30">INTERCEPT(F21:F25,$B21:$B25)</f>
        <v>2.75886735468385</v>
      </c>
      <c r="G30" s="25" cm="1">
        <f t="array" ref="G30">INTERCEPT(G21:G25,$B21:$B25)</f>
        <v>2.95336754786792</v>
      </c>
    </row>
    <row r="33" spans="2:7">
      <c r="B33" s="6" t="s">
        <v>46</v>
      </c>
      <c r="G33" s="6" t="s">
        <v>47</v>
      </c>
    </row>
    <row r="34" spans="2:7">
      <c r="B34" s="19" t="s">
        <v>2</v>
      </c>
      <c r="C34" s="19" t="s">
        <v>32</v>
      </c>
      <c r="D34" s="19" t="s">
        <v>33</v>
      </c>
      <c r="E34" s="19" t="s">
        <v>34</v>
      </c>
      <c r="F34" s="19" t="s">
        <v>35</v>
      </c>
      <c r="G34" s="19" t="s">
        <v>36</v>
      </c>
    </row>
    <row r="35" spans="2:7">
      <c r="B35" s="19">
        <v>1</v>
      </c>
      <c r="C35" s="25">
        <f>EXP(C30+C29*$B35)</f>
        <v>12.9461020939303</v>
      </c>
      <c r="D35" s="25">
        <f>EXP(D30+D29*$B35)</f>
        <v>13.4336989489283</v>
      </c>
      <c r="E35" s="25">
        <f>EXP(E30+E29*$B35)</f>
        <v>15.9019035480375</v>
      </c>
      <c r="F35" s="25">
        <f>EXP(F30+F29*$B35)</f>
        <v>19.1173814393265</v>
      </c>
      <c r="G35" s="25">
        <f>EXP(G30+G29*$B35)</f>
        <v>22.637495950457</v>
      </c>
    </row>
    <row r="36" spans="2:7">
      <c r="B36" s="19">
        <v>2</v>
      </c>
      <c r="C36" s="25">
        <f>EXP(C30+C29*$B36)</f>
        <v>15.7461934804317</v>
      </c>
      <c r="D36" s="25">
        <f>EXP(D30+D29*$B36)</f>
        <v>16.5127979803067</v>
      </c>
      <c r="E36" s="25">
        <f>EXP(E30+E29*$B36)</f>
        <v>19.0343560768454</v>
      </c>
      <c r="F36" s="25">
        <f>EXP(F30+F29*$B36)</f>
        <v>23.1577276772822</v>
      </c>
      <c r="G36" s="25">
        <f>EXP(G30+G29*$B36)</f>
        <v>26.731636210144</v>
      </c>
    </row>
    <row r="37" spans="2:7">
      <c r="B37" s="19">
        <v>3</v>
      </c>
      <c r="C37" s="25">
        <f>EXP(C30+C29*$B37)</f>
        <v>19.1519120832083</v>
      </c>
      <c r="D37" s="25">
        <f>EXP(D30+D29*$B37)</f>
        <v>20.2976483375915</v>
      </c>
      <c r="E37" s="25">
        <f>EXP(E30+E29*$B37)</f>
        <v>22.7838579303202</v>
      </c>
      <c r="F37" s="25">
        <f>EXP(F30+F29*$B37)</f>
        <v>28.0519773525037</v>
      </c>
      <c r="G37" s="25">
        <f>EXP(G30+G29*$B37)</f>
        <v>31.5662287045954</v>
      </c>
    </row>
    <row r="38" spans="2:7">
      <c r="B38" s="19">
        <v>4</v>
      </c>
      <c r="C38" s="25">
        <f>EXP(C30+C29*$B38)</f>
        <v>23.2942480288183</v>
      </c>
      <c r="D38" s="25">
        <f>EXP(D30+D29*$B38)</f>
        <v>24.9500132277935</v>
      </c>
      <c r="E38" s="25">
        <f>EXP(E30+E29*$B38)</f>
        <v>27.2719591928033</v>
      </c>
      <c r="F38" s="25">
        <f>EXP(F30+F29*$B38)</f>
        <v>33.9805979391211</v>
      </c>
      <c r="G38" s="25">
        <f>EXP(G30+G29*$B38)</f>
        <v>37.2751890979537</v>
      </c>
    </row>
    <row r="39" spans="2:7">
      <c r="B39" s="19">
        <v>5</v>
      </c>
      <c r="C39" s="25">
        <f>EXP(C30+C29*$B39)</f>
        <v>28.3325230854552</v>
      </c>
      <c r="D39" s="25">
        <f>EXP(D30+D29*$B39)</f>
        <v>30.6687331317187</v>
      </c>
      <c r="E39" s="25">
        <f>EXP(E30+E29*$B39)</f>
        <v>32.6441536147464</v>
      </c>
      <c r="F39" s="25">
        <f>EXP(F30+F29*$B39)</f>
        <v>41.162197651537</v>
      </c>
      <c r="G39" s="25">
        <f>EXP(G30+G29*$B39)</f>
        <v>44.0166525843467</v>
      </c>
    </row>
    <row r="42" spans="2:7">
      <c r="B42" s="6" t="s">
        <v>48</v>
      </c>
    </row>
    <row r="43" spans="2:7">
      <c r="B43" s="19" t="s">
        <v>2</v>
      </c>
      <c r="C43" s="19" t="s">
        <v>32</v>
      </c>
      <c r="D43" s="19" t="s">
        <v>33</v>
      </c>
      <c r="E43" s="19" t="s">
        <v>34</v>
      </c>
      <c r="F43" s="19" t="s">
        <v>35</v>
      </c>
      <c r="G43" s="19" t="s">
        <v>36</v>
      </c>
    </row>
    <row r="44" spans="2:7">
      <c r="B44" s="19">
        <v>1</v>
      </c>
      <c r="C44" s="25">
        <f>C35*1.2</f>
        <v>15.5353225127163</v>
      </c>
      <c r="D44" s="25">
        <f>D35*1.2</f>
        <v>16.120438738714</v>
      </c>
      <c r="E44" s="25">
        <f>E35*1.2</f>
        <v>19.082284257645</v>
      </c>
      <c r="F44" s="25">
        <f>F35*1.2</f>
        <v>22.9408577271918</v>
      </c>
      <c r="G44" s="25">
        <f>G35*1.2</f>
        <v>27.1649951405485</v>
      </c>
    </row>
    <row r="45" spans="2:7">
      <c r="B45" s="19">
        <v>2</v>
      </c>
      <c r="C45" s="25">
        <f>C36*1.2</f>
        <v>18.8954321765181</v>
      </c>
      <c r="D45" s="25">
        <f>D36*1.2</f>
        <v>19.815357576368</v>
      </c>
      <c r="E45" s="25">
        <f>E36*1.2</f>
        <v>22.8412272922145</v>
      </c>
      <c r="F45" s="25">
        <f>F36*1.2</f>
        <v>27.7892732127386</v>
      </c>
      <c r="G45" s="25">
        <f>G36*1.2</f>
        <v>32.0779634521727</v>
      </c>
    </row>
    <row r="46" spans="2:7">
      <c r="B46" s="19">
        <v>3</v>
      </c>
      <c r="C46" s="25">
        <f>C37*1.2</f>
        <v>22.9822944998499</v>
      </c>
      <c r="D46" s="25">
        <f>D37*1.2</f>
        <v>24.3571780051099</v>
      </c>
      <c r="E46" s="25">
        <f>E37*1.2</f>
        <v>27.3406295163843</v>
      </c>
      <c r="F46" s="25">
        <f>F37*1.2</f>
        <v>33.6623728230045</v>
      </c>
      <c r="G46" s="25">
        <f>G37*1.2</f>
        <v>37.8794744455145</v>
      </c>
    </row>
    <row r="47" spans="2:7">
      <c r="B47" s="19">
        <v>4</v>
      </c>
      <c r="C47" s="25">
        <f>C38*1.2</f>
        <v>27.953097634582</v>
      </c>
      <c r="D47" s="25">
        <f>D38*1.2</f>
        <v>29.9400158733522</v>
      </c>
      <c r="E47" s="25">
        <f>E38*1.2</f>
        <v>32.726351031364</v>
      </c>
      <c r="F47" s="25">
        <f>F38*1.2</f>
        <v>40.7767175269453</v>
      </c>
      <c r="G47" s="25">
        <f>G38*1.2</f>
        <v>44.7302269175445</v>
      </c>
    </row>
    <row r="48" spans="2:7">
      <c r="B48" s="19">
        <v>5</v>
      </c>
      <c r="C48" s="25">
        <f>C39*1.2</f>
        <v>33.9990277025462</v>
      </c>
      <c r="D48" s="25">
        <f>D39*1.2</f>
        <v>36.8024797580625</v>
      </c>
      <c r="E48" s="25">
        <f>E39*1.2</f>
        <v>39.1729843376957</v>
      </c>
      <c r="F48" s="25">
        <f>F39*1.2</f>
        <v>49.3946371818445</v>
      </c>
      <c r="G48" s="25">
        <f>G39*1.2</f>
        <v>52.819983101216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7"/>
  <sheetViews>
    <sheetView zoomScale="115" zoomScaleNormal="115" topLeftCell="B1" workbookViewId="0">
      <selection activeCell="L12" sqref="L12"/>
    </sheetView>
  </sheetViews>
  <sheetFormatPr defaultColWidth="9" defaultRowHeight="16.5"/>
  <cols>
    <col min="1" max="1" width="17.9166666666667" style="4" customWidth="1"/>
    <col min="2" max="2" width="26.625" style="4" customWidth="1"/>
    <col min="3" max="3" width="19.125" style="4" customWidth="1"/>
    <col min="4" max="4" width="9.69166666666667" style="4" customWidth="1"/>
    <col min="5" max="5" width="10.9416666666667" style="4" customWidth="1"/>
    <col min="6" max="6" width="37.6" style="5" customWidth="1"/>
    <col min="7" max="9" width="15.625" style="4" hidden="1" customWidth="1"/>
    <col min="10" max="12" width="15.625" style="4" customWidth="1"/>
    <col min="13" max="13" width="15.625" style="6" customWidth="1"/>
    <col min="14" max="16384" width="9" style="6"/>
  </cols>
  <sheetData>
    <row r="1" spans="1:13">
      <c r="A1" s="7" t="s">
        <v>49</v>
      </c>
    </row>
    <row r="2" spans="1:13">
      <c r="A2" s="4" t="s">
        <v>50</v>
      </c>
    </row>
    <row r="3" s="3" customFormat="1" spans="1:13">
      <c r="A3" s="8" t="s">
        <v>51</v>
      </c>
      <c r="B3" s="8" t="s">
        <v>52</v>
      </c>
      <c r="C3" s="8" t="s">
        <v>53</v>
      </c>
      <c r="D3" s="8" t="s">
        <v>1</v>
      </c>
      <c r="E3" s="9" t="s">
        <v>2</v>
      </c>
      <c r="F3" s="10" t="s">
        <v>54</v>
      </c>
      <c r="G3" s="11" t="s">
        <v>55</v>
      </c>
      <c r="H3" s="8"/>
      <c r="I3" s="8"/>
      <c r="J3" s="8" t="s">
        <v>56</v>
      </c>
      <c r="K3" s="8" t="s">
        <v>57</v>
      </c>
      <c r="L3" s="8" t="s">
        <v>58</v>
      </c>
      <c r="M3" s="8" t="s">
        <v>59</v>
      </c>
    </row>
    <row r="4" s="3" customFormat="1" spans="1:13">
      <c r="A4" s="8"/>
      <c r="B4" s="8"/>
      <c r="C4" s="8"/>
      <c r="D4" s="8"/>
      <c r="E4" s="9"/>
      <c r="F4" s="10"/>
      <c r="G4" s="11" t="s">
        <v>60</v>
      </c>
      <c r="H4" s="8" t="s">
        <v>61</v>
      </c>
      <c r="I4" s="8" t="s">
        <v>62</v>
      </c>
      <c r="J4" s="8"/>
      <c r="K4" s="8"/>
      <c r="L4" s="8"/>
      <c r="M4" s="8"/>
    </row>
    <row r="5" spans="1:13">
      <c r="A5" s="1">
        <v>1</v>
      </c>
      <c r="B5" s="1" t="s">
        <v>13</v>
      </c>
      <c r="C5" s="1" t="s">
        <v>63</v>
      </c>
      <c r="D5" s="1" t="str" cm="1">
        <f t="array" ref="D5">_xlfn.IFS(J5="经验不限","初级",J5="1-3年","初级",J5="3-5年","中级",J5="5-10年","高级",J5="10年以上","资深")</f>
        <v>初级</v>
      </c>
      <c r="E5" s="12" cm="1">
        <f t="array" ref="E5">_xlfn.IFS(D5="初级",1,D5="中级",2,D5="高级",3,D5="资深",4,D5="管理",5)</f>
        <v>1</v>
      </c>
      <c r="F5" s="13" t="s">
        <v>64</v>
      </c>
      <c r="G5" s="14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2" t="s">
        <v>70</v>
      </c>
      <c r="M5" s="15" t="s">
        <v>71</v>
      </c>
    </row>
    <row r="6" spans="1:13">
      <c r="A6" s="1">
        <v>2</v>
      </c>
      <c r="B6" s="1" t="s">
        <v>17</v>
      </c>
      <c r="C6" s="1" t="s">
        <v>63</v>
      </c>
      <c r="D6" s="1" t="str" cm="1">
        <f t="array" ref="D6">_xlfn.IFS(J6="经验不限","初级",J6="1-3年","初级",J6="3-5年","中级",J6="5-10年","高级",J6="10年以上","资深")</f>
        <v>中级</v>
      </c>
      <c r="E6" s="12" cm="1">
        <f t="array" ref="E6">_xlfn.IFS(D6="初级",1,D6="中级",2,D6="高级",3,D6="资深",4,D6="管理",5)</f>
        <v>2</v>
      </c>
      <c r="F6" s="13" t="s">
        <v>72</v>
      </c>
      <c r="G6" s="14" t="s">
        <v>73</v>
      </c>
      <c r="H6" s="1" t="s">
        <v>74</v>
      </c>
      <c r="I6" s="1" t="s">
        <v>75</v>
      </c>
      <c r="J6" s="1" t="s">
        <v>76</v>
      </c>
      <c r="K6" s="1" t="s">
        <v>69</v>
      </c>
      <c r="L6" s="12" t="s">
        <v>77</v>
      </c>
      <c r="M6" s="15" t="s">
        <v>78</v>
      </c>
    </row>
    <row r="7" spans="1:13">
      <c r="A7" s="1">
        <v>3</v>
      </c>
      <c r="B7" s="1" t="s">
        <v>17</v>
      </c>
      <c r="C7" s="1" t="s">
        <v>63</v>
      </c>
      <c r="D7" s="1" t="str" cm="1">
        <f t="array" ref="D7">_xlfn.IFS(J7="经验不限","初级",J7="1-3年","初级",J7="3-5年","中级",J7="5-10年","高级",J7="10年以上","资深")</f>
        <v>中级</v>
      </c>
      <c r="E7" s="12" cm="1">
        <f t="array" ref="E7">_xlfn.IFS(D7="初级",1,D7="中级",2,D7="高级",3,D7="资深",4,D7="管理",5)</f>
        <v>2</v>
      </c>
      <c r="F7" s="13" t="s">
        <v>79</v>
      </c>
      <c r="G7" s="14" t="s">
        <v>80</v>
      </c>
      <c r="H7" s="1" t="s">
        <v>81</v>
      </c>
      <c r="I7" s="1" t="s">
        <v>82</v>
      </c>
      <c r="J7" s="1" t="s">
        <v>76</v>
      </c>
      <c r="K7" s="1" t="s">
        <v>69</v>
      </c>
      <c r="L7" s="12" t="s">
        <v>83</v>
      </c>
      <c r="M7" s="15" t="s">
        <v>84</v>
      </c>
    </row>
    <row r="8" spans="1:13">
      <c r="A8" s="1">
        <v>4</v>
      </c>
      <c r="B8" s="1" t="s">
        <v>17</v>
      </c>
      <c r="C8" s="1" t="s">
        <v>63</v>
      </c>
      <c r="D8" s="1" t="str" cm="1">
        <f t="array" ref="D8">_xlfn.IFS(J8="经验不限","初级",J8="1-3年","初级",J8="3-5年","中级",J8="5-10年","高级",J8="10年以上","资深")</f>
        <v>中级</v>
      </c>
      <c r="E8" s="12" cm="1">
        <f t="array" ref="E8">_xlfn.IFS(D8="初级",1,D8="中级",2,D8="高级",3,D8="资深",4,D8="管理",5)</f>
        <v>2</v>
      </c>
      <c r="F8" s="13" t="s">
        <v>85</v>
      </c>
      <c r="G8" s="14" t="s">
        <v>65</v>
      </c>
      <c r="H8" s="1" t="s">
        <v>86</v>
      </c>
      <c r="I8" s="1" t="s">
        <v>87</v>
      </c>
      <c r="J8" s="1" t="s">
        <v>76</v>
      </c>
      <c r="K8" s="1" t="s">
        <v>69</v>
      </c>
      <c r="L8" s="12" t="s">
        <v>88</v>
      </c>
      <c r="M8" s="15" t="s">
        <v>89</v>
      </c>
    </row>
    <row r="9" spans="1:13">
      <c r="A9" s="1">
        <v>6</v>
      </c>
      <c r="B9" s="1" t="s">
        <v>17</v>
      </c>
      <c r="C9" s="1" t="s">
        <v>63</v>
      </c>
      <c r="D9" s="1" t="str" cm="1">
        <f t="array" ref="D9">_xlfn.IFS(J9="经验不限","初级",J9="1-3年","初级",J9="3-5年","中级",J9="5-10年","高级",J9="10年以上","资深")</f>
        <v>中级</v>
      </c>
      <c r="E9" s="12" cm="1">
        <f t="array" ref="E9">_xlfn.IFS(D9="初级",1,D9="中级",2,D9="高级",3,D9="资深",4,D9="管理",5)</f>
        <v>2</v>
      </c>
      <c r="F9" s="13" t="s">
        <v>85</v>
      </c>
      <c r="G9" s="14" t="s">
        <v>90</v>
      </c>
      <c r="H9" s="1" t="s">
        <v>91</v>
      </c>
      <c r="I9" s="1" t="s">
        <v>92</v>
      </c>
      <c r="J9" s="1" t="s">
        <v>76</v>
      </c>
      <c r="K9" s="1" t="s">
        <v>69</v>
      </c>
      <c r="L9" s="12" t="s">
        <v>93</v>
      </c>
      <c r="M9" s="15" t="s">
        <v>94</v>
      </c>
    </row>
    <row r="10" spans="1:13">
      <c r="A10" s="1">
        <v>7</v>
      </c>
      <c r="B10" s="1" t="s">
        <v>17</v>
      </c>
      <c r="C10" s="1" t="s">
        <v>63</v>
      </c>
      <c r="D10" s="1" t="str" cm="1">
        <f t="array" ref="D10">_xlfn.IFS(J10="经验不限","初级",J10="1-3年","初级",J10="3-5年","中级",J10="5-10年","高级",J10="10年以上","资深")</f>
        <v>中级</v>
      </c>
      <c r="E10" s="12" cm="1">
        <f t="array" ref="E10">_xlfn.IFS(D10="初级",1,D10="中级",2,D10="高级",3,D10="资深",4,D10="管理",5)</f>
        <v>2</v>
      </c>
      <c r="F10" s="13" t="s">
        <v>95</v>
      </c>
      <c r="G10" s="14" t="s">
        <v>96</v>
      </c>
      <c r="H10" s="1" t="s">
        <v>97</v>
      </c>
      <c r="I10" s="1" t="s">
        <v>98</v>
      </c>
      <c r="J10" s="1" t="s">
        <v>76</v>
      </c>
      <c r="K10" s="1" t="s">
        <v>69</v>
      </c>
      <c r="L10" s="12" t="s">
        <v>99</v>
      </c>
      <c r="M10" s="15" t="s">
        <v>100</v>
      </c>
    </row>
    <row r="11" spans="1:13">
      <c r="A11" s="1">
        <v>8</v>
      </c>
      <c r="B11" s="1" t="s">
        <v>28</v>
      </c>
      <c r="C11" s="1" t="s">
        <v>63</v>
      </c>
      <c r="D11" s="1" t="s">
        <v>101</v>
      </c>
      <c r="E11" s="12" cm="1">
        <f t="array" ref="E11">_xlfn.IFS(D11="初级",1,D11="中级",2,D11="高级",3,D11="资深",4,D11="管理",5)</f>
        <v>5</v>
      </c>
      <c r="F11" s="13" t="s">
        <v>102</v>
      </c>
      <c r="G11" s="14" t="s">
        <v>103</v>
      </c>
      <c r="H11" s="1" t="s">
        <v>104</v>
      </c>
      <c r="I11" s="1" t="s">
        <v>105</v>
      </c>
      <c r="J11" s="1" t="s">
        <v>24</v>
      </c>
      <c r="K11" s="1" t="s">
        <v>69</v>
      </c>
      <c r="L11" s="12" t="s">
        <v>93</v>
      </c>
      <c r="M11" s="15" t="s">
        <v>106</v>
      </c>
    </row>
    <row r="12" spans="1:13">
      <c r="A12" s="1">
        <v>9</v>
      </c>
      <c r="B12" s="1" t="s">
        <v>17</v>
      </c>
      <c r="C12" s="1" t="s">
        <v>63</v>
      </c>
      <c r="D12" s="1" t="str" cm="1">
        <f t="array" ref="D12">_xlfn.IFS(J12="经验不限","初级",J12="1-3年","初级",J12="3-5年","中级",J12="5-10年","高级",J12="10年以上","资深")</f>
        <v>中级</v>
      </c>
      <c r="E12" s="12" cm="1">
        <f t="array" ref="E12">_xlfn.IFS(D12="初级",1,D12="中级",2,D12="高级",3,D12="资深",4,D12="管理",5)</f>
        <v>2</v>
      </c>
      <c r="F12" s="13" t="s">
        <v>107</v>
      </c>
      <c r="G12" s="14" t="s">
        <v>96</v>
      </c>
      <c r="H12" s="1" t="s">
        <v>97</v>
      </c>
      <c r="I12" s="1" t="s">
        <v>98</v>
      </c>
      <c r="J12" s="1" t="s">
        <v>76</v>
      </c>
      <c r="K12" s="1" t="s">
        <v>69</v>
      </c>
      <c r="L12" s="12" t="s">
        <v>93</v>
      </c>
      <c r="M12" s="15" t="s">
        <v>108</v>
      </c>
    </row>
    <row r="13" spans="1:13">
      <c r="A13" s="1">
        <v>10</v>
      </c>
      <c r="B13" s="1" t="s">
        <v>17</v>
      </c>
      <c r="C13" s="1" t="s">
        <v>63</v>
      </c>
      <c r="D13" s="1" t="str" cm="1">
        <f t="array" ref="D13">_xlfn.IFS(J13="经验不限","初级",J13="1-3年","初级",J13="3-5年","中级",J13="5-10年","高级",J13="10年以上","资深")</f>
        <v>中级</v>
      </c>
      <c r="E13" s="12" cm="1">
        <f t="array" ref="E13">_xlfn.IFS(D13="初级",1,D13="中级",2,D13="高级",3,D13="资深",4,D13="管理",5)</f>
        <v>2</v>
      </c>
      <c r="F13" s="13" t="s">
        <v>85</v>
      </c>
      <c r="G13" s="14" t="s">
        <v>109</v>
      </c>
      <c r="H13" s="1" t="s">
        <v>110</v>
      </c>
      <c r="I13" s="1" t="s">
        <v>111</v>
      </c>
      <c r="J13" s="1" t="s">
        <v>76</v>
      </c>
      <c r="K13" s="1" t="s">
        <v>69</v>
      </c>
      <c r="L13" s="12" t="s">
        <v>99</v>
      </c>
      <c r="M13" s="15" t="s">
        <v>112</v>
      </c>
    </row>
    <row r="14" ht="27" spans="1:13">
      <c r="A14" s="1">
        <v>11</v>
      </c>
      <c r="B14" s="1" t="s">
        <v>113</v>
      </c>
      <c r="C14" s="1" t="s">
        <v>63</v>
      </c>
      <c r="D14" s="1" t="s">
        <v>101</v>
      </c>
      <c r="E14" s="12" cm="1">
        <f t="array" ref="E14">_xlfn.IFS(D14="初级",1,D14="中级",2,D14="高级",3,D14="资深",4,D14="管理",5)</f>
        <v>5</v>
      </c>
      <c r="F14" s="13" t="s">
        <v>114</v>
      </c>
      <c r="G14" s="14" t="s">
        <v>96</v>
      </c>
      <c r="H14" s="1" t="s">
        <v>97</v>
      </c>
      <c r="I14" s="1" t="s">
        <v>98</v>
      </c>
      <c r="J14" s="1" t="s">
        <v>115</v>
      </c>
      <c r="K14" s="1" t="s">
        <v>69</v>
      </c>
      <c r="L14" s="12" t="s">
        <v>116</v>
      </c>
      <c r="M14" s="15" t="s">
        <v>117</v>
      </c>
    </row>
    <row r="15" spans="1:13">
      <c r="A15" s="1">
        <v>12</v>
      </c>
      <c r="B15" s="1" t="s">
        <v>17</v>
      </c>
      <c r="C15" s="1" t="s">
        <v>63</v>
      </c>
      <c r="D15" s="1" t="str" cm="1">
        <f t="array" ref="D15">_xlfn.IFS(J15="经验不限","初级",J15="1-3年","初级",J15="3-5年","中级",J15="5-10年","高级",J15="10年以上","资深")</f>
        <v>中级</v>
      </c>
      <c r="E15" s="12" cm="1">
        <f t="array" ref="E15">_xlfn.IFS(D15="初级",1,D15="中级",2,D15="高级",3,D15="资深",4,D15="管理",5)</f>
        <v>2</v>
      </c>
      <c r="F15" s="13" t="s">
        <v>85</v>
      </c>
      <c r="G15" s="14" t="s">
        <v>118</v>
      </c>
      <c r="H15" s="1" t="s">
        <v>119</v>
      </c>
      <c r="I15" s="1" t="s">
        <v>120</v>
      </c>
      <c r="J15" s="1" t="s">
        <v>76</v>
      </c>
      <c r="K15" s="1" t="s">
        <v>69</v>
      </c>
      <c r="L15" s="12" t="s">
        <v>88</v>
      </c>
      <c r="M15" s="15" t="s">
        <v>121</v>
      </c>
    </row>
    <row r="16" spans="1:13">
      <c r="A16" s="1">
        <v>13</v>
      </c>
      <c r="B16" s="1" t="s">
        <v>21</v>
      </c>
      <c r="C16" s="1" t="s">
        <v>63</v>
      </c>
      <c r="D16" s="1" t="str" cm="1">
        <f t="array" ref="D16">_xlfn.IFS(J16="经验不限","初级",J16="1-3年","初级",J16="3-5年","中级",J16="5-10年","高级",J16="10年以上","资深")</f>
        <v>高级</v>
      </c>
      <c r="E16" s="12" cm="1">
        <f t="array" ref="E16">_xlfn.IFS(D16="初级",1,D16="中级",2,D16="高级",3,D16="资深",4,D16="管理",5)</f>
        <v>3</v>
      </c>
      <c r="F16" s="13" t="s">
        <v>85</v>
      </c>
      <c r="G16" s="14" t="s">
        <v>103</v>
      </c>
      <c r="H16" s="1" t="s">
        <v>104</v>
      </c>
      <c r="I16" s="1" t="s">
        <v>122</v>
      </c>
      <c r="J16" s="1" t="s">
        <v>24</v>
      </c>
      <c r="K16" s="1" t="s">
        <v>69</v>
      </c>
      <c r="L16" s="12" t="s">
        <v>99</v>
      </c>
      <c r="M16" s="15" t="s">
        <v>123</v>
      </c>
    </row>
    <row r="17" spans="1:13">
      <c r="A17" s="1">
        <v>14</v>
      </c>
      <c r="B17" s="1" t="s">
        <v>17</v>
      </c>
      <c r="C17" s="1" t="s">
        <v>63</v>
      </c>
      <c r="D17" s="1" t="str" cm="1">
        <f t="array" ref="D17">_xlfn.IFS(J17="经验不限","初级",J17="1-3年","初级",J17="3-5年","中级",J17="5-10年","高级",J17="10年以上","资深")</f>
        <v>中级</v>
      </c>
      <c r="E17" s="12" cm="1">
        <f t="array" ref="E17">_xlfn.IFS(D17="初级",1,D17="中级",2,D17="高级",3,D17="资深",4,D17="管理",5)</f>
        <v>2</v>
      </c>
      <c r="F17" s="13" t="s">
        <v>85</v>
      </c>
      <c r="G17" s="14" t="s">
        <v>124</v>
      </c>
      <c r="H17" s="1" t="s">
        <v>125</v>
      </c>
      <c r="I17" s="1" t="s">
        <v>126</v>
      </c>
      <c r="J17" s="1" t="s">
        <v>76</v>
      </c>
      <c r="K17" s="1" t="s">
        <v>69</v>
      </c>
      <c r="L17" s="12" t="s">
        <v>127</v>
      </c>
      <c r="M17" s="15" t="s">
        <v>128</v>
      </c>
    </row>
    <row r="18" spans="1:13">
      <c r="A18" s="1">
        <v>15</v>
      </c>
      <c r="B18" s="1" t="s">
        <v>28</v>
      </c>
      <c r="C18" s="1" t="s">
        <v>63</v>
      </c>
      <c r="D18" s="1" t="s">
        <v>101</v>
      </c>
      <c r="E18" s="12" cm="1">
        <f t="array" ref="E18">_xlfn.IFS(D18="初级",1,D18="中级",2,D18="高级",3,D18="资深",4,D18="管理",5)</f>
        <v>5</v>
      </c>
      <c r="F18" s="13" t="s">
        <v>129</v>
      </c>
      <c r="G18" s="14" t="s">
        <v>96</v>
      </c>
      <c r="H18" s="1" t="s">
        <v>97</v>
      </c>
      <c r="I18" s="1" t="s">
        <v>98</v>
      </c>
      <c r="J18" s="1" t="s">
        <v>76</v>
      </c>
      <c r="K18" s="1" t="s">
        <v>69</v>
      </c>
      <c r="L18" s="12" t="s">
        <v>93</v>
      </c>
      <c r="M18" s="15" t="s">
        <v>130</v>
      </c>
    </row>
    <row r="19" spans="1:13">
      <c r="A19" s="1">
        <v>16</v>
      </c>
      <c r="B19" s="1" t="s">
        <v>131</v>
      </c>
      <c r="C19" s="1" t="s">
        <v>63</v>
      </c>
      <c r="D19" s="1" t="s">
        <v>101</v>
      </c>
      <c r="E19" s="12" cm="1">
        <f t="array" ref="E19">_xlfn.IFS(D19="初级",1,D19="中级",2,D19="高级",3,D19="资深",4,D19="管理",5)</f>
        <v>5</v>
      </c>
      <c r="F19" s="13" t="s">
        <v>85</v>
      </c>
      <c r="G19" s="14" t="s">
        <v>132</v>
      </c>
      <c r="H19" s="1" t="s">
        <v>133</v>
      </c>
      <c r="I19" s="1" t="s">
        <v>134</v>
      </c>
      <c r="J19" s="1" t="s">
        <v>24</v>
      </c>
      <c r="K19" s="1" t="s">
        <v>69</v>
      </c>
      <c r="L19" s="12" t="s">
        <v>135</v>
      </c>
      <c r="M19" s="15" t="s">
        <v>136</v>
      </c>
    </row>
    <row r="20" spans="1:13">
      <c r="A20" s="1">
        <v>17</v>
      </c>
      <c r="B20" s="1" t="s">
        <v>17</v>
      </c>
      <c r="C20" s="1" t="s">
        <v>63</v>
      </c>
      <c r="D20" s="1" t="str" cm="1">
        <f t="array" ref="D20">_xlfn.IFS(J20="经验不限","初级",J20="1-3年","初级",J20="3-5年","中级",J20="5-10年","高级",J20="10年以上","资深")</f>
        <v>中级</v>
      </c>
      <c r="E20" s="12" cm="1">
        <f t="array" ref="E20">_xlfn.IFS(D20="初级",1,D20="中级",2,D20="高级",3,D20="资深",4,D20="管理",5)</f>
        <v>2</v>
      </c>
      <c r="F20" s="13" t="s">
        <v>85</v>
      </c>
      <c r="G20" s="14" t="s">
        <v>137</v>
      </c>
      <c r="H20" s="1" t="s">
        <v>138</v>
      </c>
      <c r="I20" s="1" t="s">
        <v>139</v>
      </c>
      <c r="J20" s="1" t="s">
        <v>76</v>
      </c>
      <c r="K20" s="1" t="s">
        <v>69</v>
      </c>
      <c r="L20" s="12" t="s">
        <v>140</v>
      </c>
      <c r="M20" s="15" t="s">
        <v>141</v>
      </c>
    </row>
    <row r="21" spans="1:13">
      <c r="A21" s="1">
        <v>18</v>
      </c>
      <c r="B21" s="1" t="s">
        <v>28</v>
      </c>
      <c r="C21" s="1" t="s">
        <v>63</v>
      </c>
      <c r="D21" s="1" t="s">
        <v>101</v>
      </c>
      <c r="E21" s="12" cm="1">
        <f t="array" ref="E21">_xlfn.IFS(D21="初级",1,D21="中级",2,D21="高级",3,D21="资深",4,D21="管理",5)</f>
        <v>5</v>
      </c>
      <c r="F21" s="13" t="s">
        <v>142</v>
      </c>
      <c r="G21" s="14" t="s">
        <v>96</v>
      </c>
      <c r="H21" s="1" t="s">
        <v>97</v>
      </c>
      <c r="I21" s="1" t="s">
        <v>98</v>
      </c>
      <c r="J21" s="1" t="s">
        <v>76</v>
      </c>
      <c r="K21" s="1" t="s">
        <v>69</v>
      </c>
      <c r="L21" s="12" t="s">
        <v>93</v>
      </c>
      <c r="M21" s="15" t="s">
        <v>143</v>
      </c>
    </row>
    <row r="22" spans="1:13">
      <c r="A22" s="1">
        <v>19</v>
      </c>
      <c r="B22" s="1" t="s">
        <v>28</v>
      </c>
      <c r="C22" s="1" t="s">
        <v>63</v>
      </c>
      <c r="D22" s="1" t="s">
        <v>101</v>
      </c>
      <c r="E22" s="12" cm="1">
        <f t="array" ref="E22">_xlfn.IFS(D22="初级",1,D22="中级",2,D22="高级",3,D22="资深",4,D22="管理",5)</f>
        <v>5</v>
      </c>
      <c r="F22" s="13" t="s">
        <v>144</v>
      </c>
      <c r="G22" s="14" t="s">
        <v>132</v>
      </c>
      <c r="H22" s="1" t="s">
        <v>133</v>
      </c>
      <c r="I22" s="1" t="s">
        <v>134</v>
      </c>
      <c r="J22" s="1" t="s">
        <v>24</v>
      </c>
      <c r="K22" s="1" t="s">
        <v>69</v>
      </c>
      <c r="L22" s="12" t="s">
        <v>93</v>
      </c>
      <c r="M22" s="15" t="s">
        <v>136</v>
      </c>
    </row>
    <row r="23" spans="1:13">
      <c r="A23" s="1">
        <v>20</v>
      </c>
      <c r="B23" s="1" t="s">
        <v>131</v>
      </c>
      <c r="C23" s="1" t="s">
        <v>63</v>
      </c>
      <c r="D23" s="1" t="s">
        <v>101</v>
      </c>
      <c r="E23" s="12" cm="1">
        <f t="array" ref="E23">_xlfn.IFS(D23="初级",1,D23="中级",2,D23="高级",3,D23="资深",4,D23="管理",5)</f>
        <v>5</v>
      </c>
      <c r="F23" s="13" t="s">
        <v>145</v>
      </c>
      <c r="G23" s="14" t="s">
        <v>146</v>
      </c>
      <c r="H23" s="1"/>
      <c r="I23" s="1"/>
      <c r="J23" s="1" t="s">
        <v>24</v>
      </c>
      <c r="K23" s="1" t="s">
        <v>69</v>
      </c>
      <c r="L23" s="12" t="s">
        <v>147</v>
      </c>
      <c r="M23" s="15" t="s">
        <v>148</v>
      </c>
    </row>
    <row r="24" spans="1:13">
      <c r="A24" s="1">
        <v>21</v>
      </c>
      <c r="B24" s="1" t="s">
        <v>17</v>
      </c>
      <c r="C24" s="1" t="s">
        <v>149</v>
      </c>
      <c r="D24" s="1" t="str" cm="1">
        <f t="array" ref="D24">_xlfn.IFS(J24="经验不限","初级",J24="1-3年","初级",J24="3-5年","中级",J24="5-10年","高级",J24="10年以上","资深")</f>
        <v>中级</v>
      </c>
      <c r="E24" s="12" cm="1">
        <f t="array" ref="E24">_xlfn.IFS(D24="初级",1,D24="中级",2,D24="高级",3,D24="资深",4,D24="管理",5)</f>
        <v>2</v>
      </c>
      <c r="F24" s="13" t="s">
        <v>150</v>
      </c>
      <c r="G24" s="14" t="s">
        <v>90</v>
      </c>
      <c r="H24" s="1" t="s">
        <v>151</v>
      </c>
      <c r="I24" s="1" t="s">
        <v>152</v>
      </c>
      <c r="J24" s="1" t="s">
        <v>76</v>
      </c>
      <c r="K24" s="1" t="s">
        <v>69</v>
      </c>
      <c r="L24" s="12" t="s">
        <v>153</v>
      </c>
      <c r="M24" s="15" t="s">
        <v>154</v>
      </c>
    </row>
    <row r="25" spans="1:13">
      <c r="A25" s="1">
        <v>22</v>
      </c>
      <c r="B25" s="1" t="s">
        <v>21</v>
      </c>
      <c r="C25" s="1" t="s">
        <v>149</v>
      </c>
      <c r="D25" s="1" t="str" cm="1">
        <f t="array" ref="D25">_xlfn.IFS(J25="经验不限","初级",J25="1-3年","初级",J25="3-5年","中级",J25="5-10年","高级",J25="10年以上","资深")</f>
        <v>高级</v>
      </c>
      <c r="E25" s="12" cm="1">
        <f t="array" ref="E25">_xlfn.IFS(D25="初级",1,D25="中级",2,D25="高级",3,D25="资深",4,D25="管理",5)</f>
        <v>3</v>
      </c>
      <c r="F25" s="13" t="s">
        <v>155</v>
      </c>
      <c r="G25" s="14" t="s">
        <v>65</v>
      </c>
      <c r="H25" s="1" t="s">
        <v>66</v>
      </c>
      <c r="I25" s="1" t="s">
        <v>156</v>
      </c>
      <c r="J25" s="1" t="s">
        <v>24</v>
      </c>
      <c r="K25" s="1" t="s">
        <v>69</v>
      </c>
      <c r="L25" s="12" t="s">
        <v>153</v>
      </c>
      <c r="M25" s="15" t="s">
        <v>157</v>
      </c>
    </row>
    <row r="26" spans="1:13">
      <c r="A26" s="1">
        <v>23</v>
      </c>
      <c r="B26" s="1" t="s">
        <v>13</v>
      </c>
      <c r="C26" s="1" t="s">
        <v>149</v>
      </c>
      <c r="D26" s="1" t="str" cm="1">
        <f t="array" ref="D26">_xlfn.IFS(J26="经验不限","初级",J26="1-3年","初级",J26="3-5年","中级",J26="5-10年","高级",J26="10年以上","资深")</f>
        <v>初级</v>
      </c>
      <c r="E26" s="12" cm="1">
        <f t="array" ref="E26">_xlfn.IFS(D26="初级",1,D26="中级",2,D26="高级",3,D26="资深",4,D26="管理",5)</f>
        <v>1</v>
      </c>
      <c r="F26" s="13"/>
      <c r="G26" s="14" t="s">
        <v>132</v>
      </c>
      <c r="H26" s="1" t="s">
        <v>158</v>
      </c>
      <c r="I26" s="1" t="s">
        <v>159</v>
      </c>
      <c r="J26" s="1" t="s">
        <v>12</v>
      </c>
      <c r="K26" s="1" t="s">
        <v>69</v>
      </c>
      <c r="L26" s="12" t="s">
        <v>160</v>
      </c>
      <c r="M26" s="15" t="s">
        <v>161</v>
      </c>
    </row>
    <row r="27" spans="1:13">
      <c r="A27" s="1">
        <v>24</v>
      </c>
      <c r="B27" s="1" t="s">
        <v>13</v>
      </c>
      <c r="C27" s="1" t="s">
        <v>149</v>
      </c>
      <c r="D27" s="1" t="str" cm="1">
        <f t="array" ref="D27">_xlfn.IFS(J27="经验不限","初级",J27="1-3年","初级",J27="3-5年","中级",J27="5-10年","高级",J27="10年以上","资深")</f>
        <v>初级</v>
      </c>
      <c r="E27" s="12" cm="1">
        <f t="array" ref="E27">_xlfn.IFS(D27="初级",1,D27="中级",2,D27="高级",3,D27="资深",4,D27="管理",5)</f>
        <v>1</v>
      </c>
      <c r="F27" s="13" t="s">
        <v>162</v>
      </c>
      <c r="G27" s="14" t="s">
        <v>163</v>
      </c>
      <c r="H27" s="1" t="s">
        <v>164</v>
      </c>
      <c r="I27" s="1" t="s">
        <v>165</v>
      </c>
      <c r="J27" s="1" t="s">
        <v>68</v>
      </c>
      <c r="K27" s="1" t="s">
        <v>69</v>
      </c>
      <c r="L27" s="12" t="s">
        <v>166</v>
      </c>
      <c r="M27" s="15" t="s">
        <v>167</v>
      </c>
    </row>
    <row r="28" spans="1:13">
      <c r="A28" s="1">
        <v>25</v>
      </c>
      <c r="B28" s="1" t="s">
        <v>21</v>
      </c>
      <c r="C28" s="1" t="s">
        <v>149</v>
      </c>
      <c r="D28" s="1" t="str" cm="1">
        <f t="array" ref="D28">_xlfn.IFS(J28="经验不限","初级",J28="1-3年","初级",J28="3-5年","中级",J28="5-10年","高级",J28="10年以上","资深")</f>
        <v>高级</v>
      </c>
      <c r="E28" s="12" cm="1">
        <f t="array" ref="E28">_xlfn.IFS(D28="初级",1,D28="中级",2,D28="高级",3,D28="资深",4,D28="管理",5)</f>
        <v>3</v>
      </c>
      <c r="F28" s="13" t="s">
        <v>168</v>
      </c>
      <c r="G28" s="14" t="s">
        <v>96</v>
      </c>
      <c r="H28" s="1" t="s">
        <v>169</v>
      </c>
      <c r="I28" s="1" t="s">
        <v>170</v>
      </c>
      <c r="J28" s="1" t="s">
        <v>24</v>
      </c>
      <c r="K28" s="1" t="s">
        <v>69</v>
      </c>
      <c r="L28" s="12" t="s">
        <v>171</v>
      </c>
      <c r="M28" s="15" t="s">
        <v>172</v>
      </c>
    </row>
    <row r="29" spans="1:13">
      <c r="A29" s="1">
        <v>26</v>
      </c>
      <c r="B29" s="1" t="s">
        <v>17</v>
      </c>
      <c r="C29" s="1" t="s">
        <v>149</v>
      </c>
      <c r="D29" s="1" t="str" cm="1">
        <f t="array" ref="D29">_xlfn.IFS(J29="经验不限","初级",J29="1-3年","初级",J29="3-5年","中级",J29="5-10年","高级",J29="10年以上","资深")</f>
        <v>中级</v>
      </c>
      <c r="E29" s="12" cm="1">
        <f t="array" ref="E29">_xlfn.IFS(D29="初级",1,D29="中级",2,D29="高级",3,D29="资深",4,D29="管理",5)</f>
        <v>2</v>
      </c>
      <c r="F29" s="13" t="s">
        <v>173</v>
      </c>
      <c r="G29" s="14" t="s">
        <v>96</v>
      </c>
      <c r="H29" s="1" t="s">
        <v>169</v>
      </c>
      <c r="I29" s="1" t="s">
        <v>170</v>
      </c>
      <c r="J29" s="1" t="s">
        <v>76</v>
      </c>
      <c r="K29" s="1" t="s">
        <v>69</v>
      </c>
      <c r="L29" s="12" t="s">
        <v>174</v>
      </c>
      <c r="M29" s="15" t="s">
        <v>175</v>
      </c>
    </row>
    <row r="30" ht="94.5" spans="1:13">
      <c r="A30" s="1">
        <v>27</v>
      </c>
      <c r="B30" s="1" t="s">
        <v>17</v>
      </c>
      <c r="C30" s="1" t="s">
        <v>149</v>
      </c>
      <c r="D30" s="1" t="str" cm="1">
        <f t="array" ref="D30">_xlfn.IFS(J30="经验不限","初级",J30="1-3年","初级",J30="3-5年","中级",J30="5-10年","高级",J30="10年以上","资深")</f>
        <v>中级</v>
      </c>
      <c r="E30" s="12" cm="1">
        <f t="array" ref="E30">_xlfn.IFS(D30="初级",1,D30="中级",2,D30="高级",3,D30="资深",4,D30="管理",5)</f>
        <v>2</v>
      </c>
      <c r="F30" s="16" t="s">
        <v>176</v>
      </c>
      <c r="G30" s="14" t="s">
        <v>177</v>
      </c>
      <c r="H30" s="1" t="s">
        <v>178</v>
      </c>
      <c r="I30" s="1" t="s">
        <v>179</v>
      </c>
      <c r="J30" s="1" t="s">
        <v>76</v>
      </c>
      <c r="K30" s="1" t="s">
        <v>69</v>
      </c>
      <c r="L30" s="12" t="s">
        <v>180</v>
      </c>
      <c r="M30" s="15" t="s">
        <v>181</v>
      </c>
    </row>
    <row r="31" spans="1:13">
      <c r="A31" s="1">
        <v>28</v>
      </c>
      <c r="B31" s="1" t="s">
        <v>17</v>
      </c>
      <c r="C31" s="1" t="s">
        <v>149</v>
      </c>
      <c r="D31" s="1" t="str" cm="1">
        <f t="array" ref="D31">_xlfn.IFS(J31="经验不限","初级",J31="1-3年","初级",J31="3-5年","中级",J31="5-10年","高级",J31="10年以上","资深")</f>
        <v>中级</v>
      </c>
      <c r="E31" s="12" cm="1">
        <f t="array" ref="E31">_xlfn.IFS(D31="初级",1,D31="中级",2,D31="高级",3,D31="资深",4,D31="管理",5)</f>
        <v>2</v>
      </c>
      <c r="F31" s="13" t="s">
        <v>182</v>
      </c>
      <c r="G31" s="14" t="s">
        <v>183</v>
      </c>
      <c r="H31" s="1" t="s">
        <v>184</v>
      </c>
      <c r="I31" s="1" t="s">
        <v>185</v>
      </c>
      <c r="J31" s="1" t="s">
        <v>76</v>
      </c>
      <c r="K31" s="1" t="s">
        <v>69</v>
      </c>
      <c r="L31" s="12" t="s">
        <v>88</v>
      </c>
      <c r="M31" s="15" t="s">
        <v>186</v>
      </c>
    </row>
    <row r="32" spans="1:13">
      <c r="A32" s="1">
        <v>29</v>
      </c>
      <c r="B32" s="1" t="s">
        <v>17</v>
      </c>
      <c r="C32" s="1" t="s">
        <v>149</v>
      </c>
      <c r="D32" s="1" t="s">
        <v>15</v>
      </c>
      <c r="E32" s="12" cm="1">
        <f t="array" ref="E32">_xlfn.IFS(D32="初级",1,D32="中级",2,D32="高级",3,D32="资深",4,D32="管理",5)</f>
        <v>2</v>
      </c>
      <c r="F32" s="13"/>
      <c r="G32" s="14" t="s">
        <v>187</v>
      </c>
      <c r="H32" s="1" t="s">
        <v>81</v>
      </c>
      <c r="I32" s="1" t="s">
        <v>188</v>
      </c>
      <c r="J32" s="1" t="s">
        <v>76</v>
      </c>
      <c r="K32" s="1" t="s">
        <v>69</v>
      </c>
      <c r="L32" s="12" t="s">
        <v>189</v>
      </c>
      <c r="M32" s="15" t="s">
        <v>190</v>
      </c>
    </row>
    <row r="33" spans="1:13">
      <c r="A33" s="1">
        <v>30</v>
      </c>
      <c r="B33" s="1" t="s">
        <v>17</v>
      </c>
      <c r="C33" s="1" t="s">
        <v>149</v>
      </c>
      <c r="D33" s="1" t="str" cm="1">
        <f t="array" ref="D33">_xlfn.IFS(J33="经验不限","初级",J33="1-3年","初级",J33="3-5年","中级",J33="5-10年","高级",J33="10年以上","资深")</f>
        <v>中级</v>
      </c>
      <c r="E33" s="12" cm="1">
        <f t="array" ref="E33">_xlfn.IFS(D33="初级",1,D33="中级",2,D33="高级",3,D33="资深",4,D33="管理",5)</f>
        <v>2</v>
      </c>
      <c r="F33" s="13" t="s">
        <v>191</v>
      </c>
      <c r="G33" s="14" t="s">
        <v>192</v>
      </c>
      <c r="H33" s="1" t="s">
        <v>193</v>
      </c>
      <c r="I33" s="1" t="s">
        <v>194</v>
      </c>
      <c r="J33" s="1" t="s">
        <v>76</v>
      </c>
      <c r="K33" s="1" t="s">
        <v>69</v>
      </c>
      <c r="L33" s="12" t="s">
        <v>195</v>
      </c>
      <c r="M33" s="15" t="s">
        <v>196</v>
      </c>
    </row>
    <row r="34" spans="1:13">
      <c r="A34" s="1">
        <v>31</v>
      </c>
      <c r="B34" s="1" t="s">
        <v>17</v>
      </c>
      <c r="C34" s="1" t="s">
        <v>149</v>
      </c>
      <c r="D34" s="1" t="str" cm="1">
        <f t="array" ref="D34">_xlfn.IFS(J34="经验不限","初级",J34="1-3年","初级",J34="3-5年","中级",J34="5-10年","高级",J34="10年以上","资深")</f>
        <v>中级</v>
      </c>
      <c r="E34" s="12" cm="1">
        <f t="array" ref="E34">_xlfn.IFS(D34="初级",1,D34="中级",2,D34="高级",3,D34="资深",4,D34="管理",5)</f>
        <v>2</v>
      </c>
      <c r="F34" s="13" t="s">
        <v>197</v>
      </c>
      <c r="G34" s="14" t="s">
        <v>132</v>
      </c>
      <c r="H34" s="1" t="s">
        <v>158</v>
      </c>
      <c r="I34" s="1" t="s">
        <v>159</v>
      </c>
      <c r="J34" s="1" t="s">
        <v>76</v>
      </c>
      <c r="K34" s="1" t="s">
        <v>69</v>
      </c>
      <c r="L34" s="12" t="s">
        <v>195</v>
      </c>
      <c r="M34" s="15" t="s">
        <v>198</v>
      </c>
    </row>
    <row r="35" ht="54" spans="1:13">
      <c r="A35" s="1">
        <v>32</v>
      </c>
      <c r="B35" s="1" t="s">
        <v>199</v>
      </c>
      <c r="C35" s="1" t="s">
        <v>149</v>
      </c>
      <c r="D35" s="1" t="s">
        <v>101</v>
      </c>
      <c r="E35" s="12" cm="1">
        <f t="array" ref="E35">_xlfn.IFS(D35="初级",1,D35="中级",2,D35="高级",3,D35="资深",4,D35="管理",5)</f>
        <v>5</v>
      </c>
      <c r="F35" s="16" t="s">
        <v>200</v>
      </c>
      <c r="G35" s="14" t="s">
        <v>124</v>
      </c>
      <c r="H35" s="1" t="s">
        <v>201</v>
      </c>
      <c r="I35" s="1" t="s">
        <v>202</v>
      </c>
      <c r="J35" s="1" t="s">
        <v>76</v>
      </c>
      <c r="K35" s="1" t="s">
        <v>69</v>
      </c>
      <c r="L35" s="12" t="s">
        <v>203</v>
      </c>
      <c r="M35" s="15" t="s">
        <v>204</v>
      </c>
    </row>
    <row r="36" ht="54" spans="1:13">
      <c r="A36" s="1">
        <v>33</v>
      </c>
      <c r="B36" s="1" t="s">
        <v>21</v>
      </c>
      <c r="C36" s="1" t="s">
        <v>149</v>
      </c>
      <c r="D36" s="1" t="str" cm="1">
        <f t="array" ref="D36">_xlfn.IFS(J36="经验不限","初级",J36="1-3年","初级",J36="3-5年","中级",J36="5-10年","高级",J36="10年以上","资深")</f>
        <v>高级</v>
      </c>
      <c r="E36" s="12" cm="1">
        <f t="array" ref="E36">_xlfn.IFS(D36="初级",1,D36="中级",2,D36="高级",3,D36="资深",4,D36="管理",5)</f>
        <v>3</v>
      </c>
      <c r="F36" s="13" t="s">
        <v>205</v>
      </c>
      <c r="G36" s="14" t="s">
        <v>118</v>
      </c>
      <c r="H36" s="1" t="s">
        <v>119</v>
      </c>
      <c r="I36" s="1" t="s">
        <v>206</v>
      </c>
      <c r="J36" s="1" t="s">
        <v>24</v>
      </c>
      <c r="K36" s="1" t="s">
        <v>69</v>
      </c>
      <c r="L36" s="12" t="s">
        <v>207</v>
      </c>
      <c r="M36" s="15" t="s">
        <v>208</v>
      </c>
    </row>
    <row r="37" spans="1:13">
      <c r="A37" s="1">
        <v>34</v>
      </c>
      <c r="B37" s="1" t="s">
        <v>13</v>
      </c>
      <c r="C37" s="1" t="s">
        <v>149</v>
      </c>
      <c r="D37" s="1" t="str" cm="1">
        <f t="array" ref="D37">_xlfn.IFS(J37="经验不限","初级",J37="1-3年","初级",J37="3-5年","中级",J37="5-10年","高级",J37="10年以上","资深")</f>
        <v>初级</v>
      </c>
      <c r="E37" s="12" cm="1">
        <f t="array" ref="E37">_xlfn.IFS(D37="初级",1,D37="中级",2,D37="高级",3,D37="资深",4,D37="管理",5)</f>
        <v>1</v>
      </c>
      <c r="F37" s="13" t="s">
        <v>209</v>
      </c>
      <c r="G37" s="14" t="s">
        <v>96</v>
      </c>
      <c r="H37" s="1" t="s">
        <v>169</v>
      </c>
      <c r="I37" s="1" t="s">
        <v>170</v>
      </c>
      <c r="J37" s="1" t="s">
        <v>12</v>
      </c>
      <c r="K37" s="1" t="s">
        <v>69</v>
      </c>
      <c r="L37" s="12" t="s">
        <v>160</v>
      </c>
      <c r="M37" s="15" t="s">
        <v>210</v>
      </c>
    </row>
    <row r="38" ht="27" spans="1:13">
      <c r="A38" s="1">
        <v>35</v>
      </c>
      <c r="B38" s="1" t="s">
        <v>17</v>
      </c>
      <c r="C38" s="1" t="s">
        <v>149</v>
      </c>
      <c r="D38" s="1" t="str" cm="1">
        <f t="array" ref="D38">_xlfn.IFS(J38="经验不限","初级",J38="1-3年","初级",J38="3-5年","中级",J38="5-10年","高级",J38="10年以上","资深")</f>
        <v>中级</v>
      </c>
      <c r="E38" s="12" cm="1">
        <f t="array" ref="E38">_xlfn.IFS(D38="初级",1,D38="中级",2,D38="高级",3,D38="资深",4,D38="管理",5)</f>
        <v>2</v>
      </c>
      <c r="F38" s="16" t="s">
        <v>211</v>
      </c>
      <c r="G38" s="14" t="s">
        <v>212</v>
      </c>
      <c r="H38" s="1" t="s">
        <v>213</v>
      </c>
      <c r="I38" s="1" t="s">
        <v>214</v>
      </c>
      <c r="J38" s="1" t="s">
        <v>76</v>
      </c>
      <c r="K38" s="1" t="s">
        <v>69</v>
      </c>
      <c r="L38" s="12" t="s">
        <v>215</v>
      </c>
      <c r="M38" s="15" t="s">
        <v>216</v>
      </c>
    </row>
    <row r="39" spans="1:13">
      <c r="A39" s="1">
        <v>36</v>
      </c>
      <c r="B39" s="1" t="s">
        <v>21</v>
      </c>
      <c r="C39" s="1" t="s">
        <v>149</v>
      </c>
      <c r="D39" s="1" t="str" cm="1">
        <f t="array" ref="D39">_xlfn.IFS(J39="经验不限","初级",J39="1-3年","初级",J39="3-5年","中级",J39="5-10年","高级",J39="10年以上","资深")</f>
        <v>高级</v>
      </c>
      <c r="E39" s="12" cm="1">
        <f t="array" ref="E39">_xlfn.IFS(D39="初级",1,D39="中级",2,D39="高级",3,D39="资深",4,D39="管理",5)</f>
        <v>3</v>
      </c>
      <c r="F39" s="13" t="s">
        <v>217</v>
      </c>
      <c r="G39" s="14" t="s">
        <v>124</v>
      </c>
      <c r="H39" s="1" t="s">
        <v>201</v>
      </c>
      <c r="I39" s="1" t="s">
        <v>202</v>
      </c>
      <c r="J39" s="1" t="s">
        <v>24</v>
      </c>
      <c r="K39" s="1" t="s">
        <v>69</v>
      </c>
      <c r="L39" s="12" t="s">
        <v>153</v>
      </c>
      <c r="M39" s="15" t="s">
        <v>218</v>
      </c>
    </row>
    <row r="40" ht="54" spans="1:13">
      <c r="A40" s="1">
        <v>37</v>
      </c>
      <c r="B40" s="1" t="s">
        <v>13</v>
      </c>
      <c r="C40" s="1" t="s">
        <v>149</v>
      </c>
      <c r="D40" s="1" t="str" cm="1">
        <f t="array" ref="D40">_xlfn.IFS(J40="经验不限","初级",J40="1-3年","初级",J40="3-5年","中级",J40="5-10年","高级",J40="10年以上","资深")</f>
        <v>初级</v>
      </c>
      <c r="E40" s="12" cm="1">
        <f t="array" ref="E40">_xlfn.IFS(D40="初级",1,D40="中级",2,D40="高级",3,D40="资深",4,D40="管理",5)</f>
        <v>1</v>
      </c>
      <c r="F40" s="16" t="s">
        <v>219</v>
      </c>
      <c r="G40" s="14" t="s">
        <v>132</v>
      </c>
      <c r="H40" s="1" t="s">
        <v>158</v>
      </c>
      <c r="I40" s="1" t="s">
        <v>159</v>
      </c>
      <c r="J40" s="1" t="s">
        <v>12</v>
      </c>
      <c r="K40" s="1" t="s">
        <v>69</v>
      </c>
      <c r="L40" s="12" t="s">
        <v>153</v>
      </c>
      <c r="M40" s="15" t="s">
        <v>220</v>
      </c>
    </row>
    <row r="41" spans="1:13">
      <c r="A41" s="1">
        <v>38</v>
      </c>
      <c r="B41" s="1" t="s">
        <v>17</v>
      </c>
      <c r="C41" s="1" t="s">
        <v>149</v>
      </c>
      <c r="D41" s="1" t="str" cm="1">
        <f t="array" ref="D41">_xlfn.IFS(J41="经验不限","初级",J41="1-3年","初级",J41="3-5年","中级",J41="5-10年","高级",J41="10年以上","资深")</f>
        <v>中级</v>
      </c>
      <c r="E41" s="12" cm="1">
        <f t="array" ref="E41">_xlfn.IFS(D41="初级",1,D41="中级",2,D41="高级",3,D41="资深",4,D41="管理",5)</f>
        <v>2</v>
      </c>
      <c r="F41" s="13" t="s">
        <v>221</v>
      </c>
      <c r="G41" s="14" t="s">
        <v>183</v>
      </c>
      <c r="H41" s="1" t="s">
        <v>184</v>
      </c>
      <c r="I41" s="1" t="s">
        <v>185</v>
      </c>
      <c r="J41" s="1" t="s">
        <v>76</v>
      </c>
      <c r="K41" s="1" t="s">
        <v>69</v>
      </c>
      <c r="L41" s="12" t="s">
        <v>180</v>
      </c>
      <c r="M41" s="15" t="s">
        <v>222</v>
      </c>
    </row>
    <row r="42" spans="1:13">
      <c r="A42" s="1">
        <v>39</v>
      </c>
      <c r="B42" s="1" t="s">
        <v>21</v>
      </c>
      <c r="C42" s="1" t="s">
        <v>149</v>
      </c>
      <c r="D42" s="1" t="str" cm="1">
        <f t="array" ref="D42">_xlfn.IFS(J42="经验不限","初级",J42="1-3年","初级",J42="3-5年","中级",J42="5-10年","高级",J42="10年以上","资深")</f>
        <v>高级</v>
      </c>
      <c r="E42" s="12" cm="1">
        <f t="array" ref="E42">_xlfn.IFS(D42="初级",1,D42="中级",2,D42="高级",3,D42="资深",4,D42="管理",5)</f>
        <v>3</v>
      </c>
      <c r="F42" s="13" t="s">
        <v>223</v>
      </c>
      <c r="G42" s="14" t="s">
        <v>224</v>
      </c>
      <c r="H42" s="1" t="s">
        <v>225</v>
      </c>
      <c r="I42" s="1" t="s">
        <v>226</v>
      </c>
      <c r="J42" s="1" t="s">
        <v>24</v>
      </c>
      <c r="K42" s="1" t="s">
        <v>69</v>
      </c>
      <c r="L42" s="12" t="s">
        <v>160</v>
      </c>
      <c r="M42" s="15" t="s">
        <v>227</v>
      </c>
    </row>
    <row r="43" spans="1:13">
      <c r="A43" s="1">
        <v>40</v>
      </c>
      <c r="B43" s="1" t="s">
        <v>17</v>
      </c>
      <c r="C43" s="1" t="s">
        <v>149</v>
      </c>
      <c r="D43" s="1" t="str" cm="1">
        <f t="array" ref="D43">_xlfn.IFS(J43="经验不限","初级",J43="1-3年","初级",J43="3-5年","中级",J43="5-10年","高级",J43="10年以上","资深")</f>
        <v>中级</v>
      </c>
      <c r="E43" s="12" cm="1">
        <f t="array" ref="E43">_xlfn.IFS(D43="初级",1,D43="中级",2,D43="高级",3,D43="资深",4,D43="管理",5)</f>
        <v>2</v>
      </c>
      <c r="F43" s="13" t="s">
        <v>228</v>
      </c>
      <c r="G43" s="14" t="s">
        <v>212</v>
      </c>
      <c r="H43" s="1" t="s">
        <v>229</v>
      </c>
      <c r="I43" s="1" t="s">
        <v>230</v>
      </c>
      <c r="J43" s="1" t="s">
        <v>76</v>
      </c>
      <c r="K43" s="1" t="s">
        <v>69</v>
      </c>
      <c r="L43" s="12" t="s">
        <v>153</v>
      </c>
      <c r="M43" s="15" t="s">
        <v>231</v>
      </c>
    </row>
    <row r="44" spans="1:13">
      <c r="A44" s="1">
        <v>41</v>
      </c>
      <c r="B44" s="1" t="s">
        <v>21</v>
      </c>
      <c r="C44" s="1" t="s">
        <v>149</v>
      </c>
      <c r="D44" s="1" t="str" cm="1">
        <f t="array" ref="D44">_xlfn.IFS(J44="经验不限","初级",J44="1-3年","初级",J44="3-5年","中级",J44="5-10年","高级",J44="10年以上","资深")</f>
        <v>高级</v>
      </c>
      <c r="E44" s="12" cm="1">
        <f t="array" ref="E44">_xlfn.IFS(D44="初级",1,D44="中级",2,D44="高级",3,D44="资深",4,D44="管理",5)</f>
        <v>3</v>
      </c>
      <c r="F44" s="13" t="s">
        <v>232</v>
      </c>
      <c r="G44" s="14" t="s">
        <v>177</v>
      </c>
      <c r="H44" s="1" t="s">
        <v>233</v>
      </c>
      <c r="I44" s="1" t="s">
        <v>234</v>
      </c>
      <c r="J44" s="1" t="s">
        <v>24</v>
      </c>
      <c r="K44" s="1" t="s">
        <v>69</v>
      </c>
      <c r="L44" s="12" t="s">
        <v>93</v>
      </c>
      <c r="M44" s="15" t="s">
        <v>235</v>
      </c>
    </row>
    <row r="45" spans="1:13">
      <c r="A45" s="1">
        <v>42</v>
      </c>
      <c r="B45" s="1" t="s">
        <v>17</v>
      </c>
      <c r="C45" s="1" t="s">
        <v>149</v>
      </c>
      <c r="D45" s="1" t="str" cm="1">
        <f t="array" ref="D45">_xlfn.IFS(J45="经验不限","初级",J45="1-3年","初级",J45="3-5年","中级",J45="5-10年","高级",J45="10年以上","资深")</f>
        <v>中级</v>
      </c>
      <c r="E45" s="12" cm="1">
        <f t="array" ref="E45">_xlfn.IFS(D45="初级",1,D45="中级",2,D45="高级",3,D45="资深",4,D45="管理",5)</f>
        <v>2</v>
      </c>
      <c r="F45" s="13" t="s">
        <v>182</v>
      </c>
      <c r="G45" s="14" t="s">
        <v>96</v>
      </c>
      <c r="H45" s="1" t="s">
        <v>169</v>
      </c>
      <c r="I45" s="1" t="s">
        <v>170</v>
      </c>
      <c r="J45" s="1" t="s">
        <v>76</v>
      </c>
      <c r="K45" s="1" t="s">
        <v>69</v>
      </c>
      <c r="L45" s="12" t="s">
        <v>88</v>
      </c>
      <c r="M45" s="15" t="s">
        <v>236</v>
      </c>
    </row>
    <row r="46" spans="1:13">
      <c r="A46" s="1">
        <v>43</v>
      </c>
      <c r="B46" s="1" t="s">
        <v>17</v>
      </c>
      <c r="C46" s="1" t="s">
        <v>149</v>
      </c>
      <c r="D46" s="1" t="s">
        <v>15</v>
      </c>
      <c r="E46" s="12" cm="1">
        <f t="array" ref="E46">_xlfn.IFS(D46="初级",1,D46="中级",2,D46="高级",3,D46="资深",4,D46="管理",5)</f>
        <v>2</v>
      </c>
      <c r="F46" s="13" t="s">
        <v>237</v>
      </c>
      <c r="G46" s="14" t="s">
        <v>73</v>
      </c>
      <c r="H46" s="1" t="s">
        <v>238</v>
      </c>
      <c r="I46" s="1" t="s">
        <v>239</v>
      </c>
      <c r="J46" s="1" t="s">
        <v>76</v>
      </c>
      <c r="K46" s="1" t="s">
        <v>69</v>
      </c>
      <c r="L46" s="12" t="s">
        <v>88</v>
      </c>
      <c r="M46" s="15" t="s">
        <v>240</v>
      </c>
    </row>
    <row r="47" spans="1:13">
      <c r="A47" s="1">
        <v>44</v>
      </c>
      <c r="B47" s="1" t="s">
        <v>17</v>
      </c>
      <c r="C47" s="1" t="s">
        <v>149</v>
      </c>
      <c r="D47" s="1" t="str" cm="1">
        <f t="array" ref="D47">_xlfn.IFS(J47="经验不限","初级",J47="1-3年","初级",J47="3-5年","中级",J47="5-10年","高级",J47="10年以上","资深")</f>
        <v>中级</v>
      </c>
      <c r="E47" s="12" cm="1">
        <f t="array" ref="E47">_xlfn.IFS(D47="初级",1,D47="中级",2,D47="高级",3,D47="资深",4,D47="管理",5)</f>
        <v>2</v>
      </c>
      <c r="F47" s="13" t="s">
        <v>241</v>
      </c>
      <c r="G47" s="14" t="s">
        <v>242</v>
      </c>
      <c r="H47" s="1" t="s">
        <v>243</v>
      </c>
      <c r="I47" s="1" t="s">
        <v>244</v>
      </c>
      <c r="J47" s="1" t="s">
        <v>76</v>
      </c>
      <c r="K47" s="1" t="s">
        <v>69</v>
      </c>
      <c r="L47" s="12" t="s">
        <v>195</v>
      </c>
      <c r="M47" s="15" t="s">
        <v>245</v>
      </c>
    </row>
    <row r="48" spans="1:13">
      <c r="A48" s="1">
        <v>45</v>
      </c>
      <c r="B48" s="1" t="s">
        <v>21</v>
      </c>
      <c r="C48" s="1" t="s">
        <v>149</v>
      </c>
      <c r="D48" s="1" t="s">
        <v>19</v>
      </c>
      <c r="E48" s="12" cm="1">
        <f t="array" ref="E48">_xlfn.IFS(D48="初级",1,D48="中级",2,D48="高级",3,D48="资深",4,D48="管理",5)</f>
        <v>3</v>
      </c>
      <c r="F48" s="13" t="s">
        <v>246</v>
      </c>
      <c r="G48" s="14" t="s">
        <v>247</v>
      </c>
      <c r="H48" s="1" t="s">
        <v>248</v>
      </c>
      <c r="I48" s="1" t="s">
        <v>249</v>
      </c>
      <c r="J48" s="1" t="s">
        <v>24</v>
      </c>
      <c r="K48" s="1" t="s">
        <v>69</v>
      </c>
      <c r="L48" s="12" t="s">
        <v>189</v>
      </c>
      <c r="M48" s="15" t="s">
        <v>250</v>
      </c>
    </row>
    <row r="49" spans="1:13">
      <c r="A49" s="1">
        <v>46</v>
      </c>
      <c r="B49" s="1" t="s">
        <v>17</v>
      </c>
      <c r="C49" s="1" t="s">
        <v>149</v>
      </c>
      <c r="D49" s="1" t="s">
        <v>15</v>
      </c>
      <c r="E49" s="12" cm="1">
        <f t="array" ref="E49">_xlfn.IFS(D49="初级",1,D49="中级",2,D49="高级",3,D49="资深",4,D49="管理",5)</f>
        <v>2</v>
      </c>
      <c r="F49" s="13" t="s">
        <v>251</v>
      </c>
      <c r="G49" s="14" t="s">
        <v>90</v>
      </c>
      <c r="H49" s="1" t="s">
        <v>252</v>
      </c>
      <c r="I49" s="1" t="s">
        <v>253</v>
      </c>
      <c r="J49" s="1" t="s">
        <v>76</v>
      </c>
      <c r="K49" s="1" t="s">
        <v>69</v>
      </c>
      <c r="L49" s="12" t="s">
        <v>254</v>
      </c>
      <c r="M49" s="15" t="s">
        <v>255</v>
      </c>
    </row>
    <row r="50" spans="1:13">
      <c r="A50" s="1">
        <v>47</v>
      </c>
      <c r="B50" s="1" t="s">
        <v>17</v>
      </c>
      <c r="C50" s="1" t="s">
        <v>149</v>
      </c>
      <c r="D50" s="1" t="str" cm="1">
        <f t="array" ref="D50">_xlfn.IFS(J50="经验不限","初级",J50="1-3年","初级",J50="3-5年","中级",J50="5-10年","高级",J50="10年以上","资深")</f>
        <v>中级</v>
      </c>
      <c r="E50" s="12" cm="1">
        <f t="array" ref="E50">_xlfn.IFS(D50="初级",1,D50="中级",2,D50="高级",3,D50="资深",4,D50="管理",5)</f>
        <v>2</v>
      </c>
      <c r="F50" s="13" t="s">
        <v>256</v>
      </c>
      <c r="G50" s="14" t="s">
        <v>96</v>
      </c>
      <c r="H50" s="1"/>
      <c r="I50" s="1"/>
      <c r="J50" s="1" t="s">
        <v>76</v>
      </c>
      <c r="K50" s="1" t="s">
        <v>69</v>
      </c>
      <c r="L50" s="12" t="s">
        <v>257</v>
      </c>
      <c r="M50" s="15" t="s">
        <v>258</v>
      </c>
    </row>
    <row r="51" spans="1:13">
      <c r="A51" s="1">
        <v>48</v>
      </c>
      <c r="B51" s="1" t="s">
        <v>131</v>
      </c>
      <c r="C51" s="1" t="s">
        <v>149</v>
      </c>
      <c r="D51" s="1" t="s">
        <v>101</v>
      </c>
      <c r="E51" s="12" cm="1">
        <f t="array" ref="E51">_xlfn.IFS(D51="初级",1,D51="中级",2,D51="高级",3,D51="资深",4,D51="管理",5)</f>
        <v>5</v>
      </c>
      <c r="F51" s="13" t="s">
        <v>259</v>
      </c>
      <c r="G51" s="14" t="s">
        <v>260</v>
      </c>
      <c r="H51" s="1" t="s">
        <v>261</v>
      </c>
      <c r="I51" s="1" t="s">
        <v>262</v>
      </c>
      <c r="J51" s="1" t="s">
        <v>24</v>
      </c>
      <c r="K51" s="1" t="s">
        <v>69</v>
      </c>
      <c r="L51" s="12" t="s">
        <v>195</v>
      </c>
      <c r="M51" s="15" t="s">
        <v>263</v>
      </c>
    </row>
    <row r="52" spans="1:13">
      <c r="A52" s="1">
        <v>49</v>
      </c>
      <c r="B52" s="1" t="s">
        <v>13</v>
      </c>
      <c r="C52" s="1" t="s">
        <v>149</v>
      </c>
      <c r="D52" s="1" t="s">
        <v>11</v>
      </c>
      <c r="E52" s="12" cm="1">
        <f t="array" ref="E52">_xlfn.IFS(D52="初级",1,D52="中级",2,D52="高级",3,D52="资深",4,D52="管理",5)</f>
        <v>1</v>
      </c>
      <c r="F52" s="13" t="s">
        <v>264</v>
      </c>
      <c r="G52" s="14" t="s">
        <v>103</v>
      </c>
      <c r="H52" s="1" t="s">
        <v>265</v>
      </c>
      <c r="I52" s="1" t="s">
        <v>266</v>
      </c>
      <c r="J52" s="1" t="s">
        <v>12</v>
      </c>
      <c r="K52" s="1" t="s">
        <v>69</v>
      </c>
      <c r="L52" s="12" t="s">
        <v>257</v>
      </c>
      <c r="M52" s="15" t="s">
        <v>267</v>
      </c>
    </row>
    <row r="53" ht="54" spans="1:13">
      <c r="A53" s="1">
        <v>50</v>
      </c>
      <c r="B53" s="1" t="s">
        <v>17</v>
      </c>
      <c r="C53" s="1" t="s">
        <v>149</v>
      </c>
      <c r="D53" s="1" t="s">
        <v>15</v>
      </c>
      <c r="E53" s="12" cm="1">
        <f t="array" ref="E53">_xlfn.IFS(D53="初级",1,D53="中级",2,D53="高级",3,D53="资深",4,D53="管理",5)</f>
        <v>2</v>
      </c>
      <c r="F53" s="16" t="s">
        <v>268</v>
      </c>
      <c r="G53" s="14" t="s">
        <v>177</v>
      </c>
      <c r="H53" s="1" t="s">
        <v>178</v>
      </c>
      <c r="I53" s="1" t="s">
        <v>179</v>
      </c>
      <c r="J53" s="1" t="s">
        <v>76</v>
      </c>
      <c r="K53" s="1" t="s">
        <v>69</v>
      </c>
      <c r="L53" s="12" t="s">
        <v>160</v>
      </c>
      <c r="M53" s="15" t="s">
        <v>269</v>
      </c>
    </row>
    <row r="54" spans="1:13">
      <c r="A54" s="1">
        <v>51</v>
      </c>
      <c r="B54" s="1" t="s">
        <v>17</v>
      </c>
      <c r="C54" s="1" t="s">
        <v>149</v>
      </c>
      <c r="D54" s="1" t="str" cm="1">
        <f t="array" ref="D54">_xlfn.IFS(J54="经验不限","初级",J54="1-3年","初级",J54="3-5年","中级",J54="5-10年","高级",J54="10年以上","资深")</f>
        <v>中级</v>
      </c>
      <c r="E54" s="12" cm="1">
        <f t="array" ref="E54">_xlfn.IFS(D54="初级",1,D54="中级",2,D54="高级",3,D54="资深",4,D54="管理",5)</f>
        <v>2</v>
      </c>
      <c r="F54" s="16" t="s">
        <v>270</v>
      </c>
      <c r="G54" s="14" t="s">
        <v>65</v>
      </c>
      <c r="H54" s="1" t="s">
        <v>66</v>
      </c>
      <c r="I54" s="1" t="s">
        <v>156</v>
      </c>
      <c r="J54" s="1" t="s">
        <v>76</v>
      </c>
      <c r="K54" s="1" t="s">
        <v>69</v>
      </c>
      <c r="L54" s="12" t="s">
        <v>271</v>
      </c>
      <c r="M54" s="15" t="s">
        <v>272</v>
      </c>
    </row>
    <row r="55" ht="27" spans="1:13">
      <c r="A55" s="1">
        <v>52</v>
      </c>
      <c r="B55" s="1" t="s">
        <v>21</v>
      </c>
      <c r="C55" s="1" t="s">
        <v>149</v>
      </c>
      <c r="D55" s="1" t="str" cm="1">
        <f t="array" ref="D55">_xlfn.IFS(J55="经验不限","初级",J55="1-3年","初级",J55="3-5年","中级",J55="5-10年","高级",J55="10年以上","资深")</f>
        <v>高级</v>
      </c>
      <c r="E55" s="12" cm="1">
        <f t="array" ref="E55">_xlfn.IFS(D55="初级",1,D55="中级",2,D55="高级",3,D55="资深",4,D55="管理",5)</f>
        <v>3</v>
      </c>
      <c r="F55" s="13" t="s">
        <v>273</v>
      </c>
      <c r="G55" s="14" t="s">
        <v>96</v>
      </c>
      <c r="H55" s="1" t="s">
        <v>169</v>
      </c>
      <c r="I55" s="1" t="s">
        <v>170</v>
      </c>
      <c r="J55" s="1" t="s">
        <v>24</v>
      </c>
      <c r="K55" s="1" t="s">
        <v>69</v>
      </c>
      <c r="L55" s="12" t="s">
        <v>195</v>
      </c>
      <c r="M55" s="15" t="s">
        <v>274</v>
      </c>
    </row>
    <row r="56" spans="1:13">
      <c r="A56" s="1">
        <v>53</v>
      </c>
      <c r="B56" s="1" t="s">
        <v>21</v>
      </c>
      <c r="C56" s="1" t="s">
        <v>149</v>
      </c>
      <c r="D56" s="1" t="str" cm="1">
        <f t="array" ref="D56">_xlfn.IFS(J56="经验不限","初级",J56="1-3年","初级",J56="3-5年","中级",J56="5-10年","高级",J56="10年以上","资深")</f>
        <v>高级</v>
      </c>
      <c r="E56" s="12" cm="1">
        <f t="array" ref="E56">_xlfn.IFS(D56="初级",1,D56="中级",2,D56="高级",3,D56="资深",4,D56="管理",5)</f>
        <v>3</v>
      </c>
      <c r="F56" s="13" t="s">
        <v>275</v>
      </c>
      <c r="G56" s="14" t="s">
        <v>103</v>
      </c>
      <c r="H56" s="1" t="s">
        <v>265</v>
      </c>
      <c r="I56" s="1" t="s">
        <v>266</v>
      </c>
      <c r="J56" s="1" t="s">
        <v>24</v>
      </c>
      <c r="K56" s="1" t="s">
        <v>69</v>
      </c>
      <c r="L56" s="12" t="s">
        <v>153</v>
      </c>
      <c r="M56" s="15" t="s">
        <v>276</v>
      </c>
    </row>
    <row r="57" spans="1:13">
      <c r="A57" s="1">
        <v>54</v>
      </c>
      <c r="B57" s="1" t="s">
        <v>21</v>
      </c>
      <c r="C57" s="1" t="s">
        <v>149</v>
      </c>
      <c r="D57" s="1" t="s">
        <v>19</v>
      </c>
      <c r="E57" s="12" cm="1">
        <f t="array" ref="E57">_xlfn.IFS(D57="初级",1,D57="中级",2,D57="高级",3,D57="资深",4,D57="管理",5)</f>
        <v>3</v>
      </c>
      <c r="F57" s="13" t="s">
        <v>277</v>
      </c>
      <c r="G57" s="14" t="s">
        <v>90</v>
      </c>
      <c r="H57" s="1" t="s">
        <v>91</v>
      </c>
      <c r="I57" s="1" t="s">
        <v>92</v>
      </c>
      <c r="J57" s="1" t="s">
        <v>24</v>
      </c>
      <c r="K57" s="1" t="s">
        <v>69</v>
      </c>
      <c r="L57" s="12" t="s">
        <v>278</v>
      </c>
      <c r="M57" s="15" t="s">
        <v>279</v>
      </c>
    </row>
    <row r="58" spans="1:13">
      <c r="A58" s="1">
        <v>55</v>
      </c>
      <c r="B58" s="1" t="s">
        <v>17</v>
      </c>
      <c r="C58" s="1" t="s">
        <v>149</v>
      </c>
      <c r="D58" s="1" t="str" cm="1">
        <f t="array" ref="D58">_xlfn.IFS(J58="经验不限","初级",J58="1-3年","初级",J58="3-5年","中级",J58="5-10年","高级",J58="10年以上","资深")</f>
        <v>中级</v>
      </c>
      <c r="E58" s="12" cm="1">
        <f t="array" ref="E58">_xlfn.IFS(D58="初级",1,D58="中级",2,D58="高级",3,D58="资深",4,D58="管理",5)</f>
        <v>2</v>
      </c>
      <c r="F58" s="13" t="s">
        <v>280</v>
      </c>
      <c r="G58" s="14" t="s">
        <v>124</v>
      </c>
      <c r="H58" s="1" t="s">
        <v>281</v>
      </c>
      <c r="I58" s="1" t="s">
        <v>282</v>
      </c>
      <c r="J58" s="1" t="s">
        <v>76</v>
      </c>
      <c r="K58" s="1" t="s">
        <v>69</v>
      </c>
      <c r="L58" s="12" t="s">
        <v>283</v>
      </c>
      <c r="M58" s="15" t="s">
        <v>284</v>
      </c>
    </row>
    <row r="59" ht="67.5" spans="1:13">
      <c r="A59" s="1">
        <v>56</v>
      </c>
      <c r="B59" s="1" t="s">
        <v>17</v>
      </c>
      <c r="C59" s="1" t="s">
        <v>149</v>
      </c>
      <c r="D59" s="1" t="str" cm="1">
        <f t="array" ref="D59">_xlfn.IFS(J59="经验不限","初级",J59="1-3年","初级",J59="3-5年","中级",J59="5-10年","高级",J59="10年以上","资深")</f>
        <v>中级</v>
      </c>
      <c r="E59" s="12" cm="1">
        <f t="array" ref="E59">_xlfn.IFS(D59="初级",1,D59="中级",2,D59="高级",3,D59="资深",4,D59="管理",5)</f>
        <v>2</v>
      </c>
      <c r="F59" s="16" t="s">
        <v>285</v>
      </c>
      <c r="G59" s="14" t="s">
        <v>118</v>
      </c>
      <c r="H59" s="1" t="s">
        <v>119</v>
      </c>
      <c r="I59" s="1" t="s">
        <v>206</v>
      </c>
      <c r="J59" s="1" t="s">
        <v>76</v>
      </c>
      <c r="K59" s="1" t="s">
        <v>69</v>
      </c>
      <c r="L59" s="12" t="s">
        <v>160</v>
      </c>
      <c r="M59" s="15" t="s">
        <v>286</v>
      </c>
    </row>
    <row r="60" ht="27" spans="1:13">
      <c r="A60" s="1">
        <v>57</v>
      </c>
      <c r="B60" s="1" t="s">
        <v>17</v>
      </c>
      <c r="C60" s="1" t="s">
        <v>149</v>
      </c>
      <c r="D60" s="1" t="str" cm="1">
        <f t="array" ref="D60">_xlfn.IFS(J60="经验不限","初级",J60="1-3年","初级",J60="3-5年","中级",J60="5-10年","高级",J60="10年以上","资深")</f>
        <v>中级</v>
      </c>
      <c r="E60" s="12" cm="1">
        <f t="array" ref="E60">_xlfn.IFS(D60="初级",1,D60="中级",2,D60="高级",3,D60="资深",4,D60="管理",5)</f>
        <v>2</v>
      </c>
      <c r="F60" s="16" t="s">
        <v>287</v>
      </c>
      <c r="G60" s="14" t="s">
        <v>288</v>
      </c>
      <c r="H60" s="1" t="s">
        <v>289</v>
      </c>
      <c r="I60" s="1" t="s">
        <v>290</v>
      </c>
      <c r="J60" s="1" t="s">
        <v>76</v>
      </c>
      <c r="K60" s="1" t="s">
        <v>69</v>
      </c>
      <c r="L60" s="12" t="s">
        <v>291</v>
      </c>
      <c r="M60" s="15" t="s">
        <v>292</v>
      </c>
    </row>
    <row r="61" spans="1:13">
      <c r="A61" s="1">
        <v>58</v>
      </c>
      <c r="B61" s="1" t="s">
        <v>17</v>
      </c>
      <c r="C61" s="1" t="s">
        <v>149</v>
      </c>
      <c r="D61" s="1" t="str" cm="1">
        <f t="array" ref="D61">_xlfn.IFS(J61="经验不限","初级",J61="1-3年","初级",J61="3-5年","中级",J61="5-10年","高级",J61="10年以上","资深")</f>
        <v>中级</v>
      </c>
      <c r="E61" s="12" cm="1">
        <f t="array" ref="E61">_xlfn.IFS(D61="初级",1,D61="中级",2,D61="高级",3,D61="资深",4,D61="管理",5)</f>
        <v>2</v>
      </c>
      <c r="F61" s="13" t="s">
        <v>293</v>
      </c>
      <c r="G61" s="14" t="s">
        <v>294</v>
      </c>
      <c r="H61" s="1" t="s">
        <v>295</v>
      </c>
      <c r="I61" s="1" t="s">
        <v>282</v>
      </c>
      <c r="J61" s="1" t="s">
        <v>76</v>
      </c>
      <c r="K61" s="1" t="s">
        <v>69</v>
      </c>
      <c r="L61" s="12" t="s">
        <v>195</v>
      </c>
      <c r="M61" s="15" t="s">
        <v>296</v>
      </c>
    </row>
    <row r="62" spans="1:13">
      <c r="A62" s="1">
        <v>59</v>
      </c>
      <c r="B62" s="1" t="s">
        <v>28</v>
      </c>
      <c r="C62" s="1" t="s">
        <v>149</v>
      </c>
      <c r="D62" s="1" t="s">
        <v>101</v>
      </c>
      <c r="E62" s="12" cm="1">
        <f t="array" ref="E62">_xlfn.IFS(D62="初级",1,D62="中级",2,D62="高级",3,D62="资深",4,D62="管理",5)</f>
        <v>5</v>
      </c>
      <c r="F62" s="13" t="s">
        <v>102</v>
      </c>
      <c r="G62" s="14" t="s">
        <v>96</v>
      </c>
      <c r="H62" s="1"/>
      <c r="I62" s="1"/>
      <c r="J62" s="1" t="s">
        <v>76</v>
      </c>
      <c r="K62" s="1" t="s">
        <v>69</v>
      </c>
      <c r="L62" s="12" t="s">
        <v>195</v>
      </c>
      <c r="M62" s="15" t="s">
        <v>297</v>
      </c>
    </row>
    <row r="63" ht="27" spans="1:13">
      <c r="A63" s="1">
        <v>60</v>
      </c>
      <c r="B63" s="1" t="s">
        <v>21</v>
      </c>
      <c r="C63" s="1" t="s">
        <v>149</v>
      </c>
      <c r="D63" s="1" t="s">
        <v>19</v>
      </c>
      <c r="E63" s="12" cm="1">
        <f t="array" ref="E63">_xlfn.IFS(D63="初级",1,D63="中级",2,D63="高级",3,D63="资深",4,D63="管理",5)</f>
        <v>3</v>
      </c>
      <c r="F63" s="13" t="s">
        <v>298</v>
      </c>
      <c r="G63" s="14" t="s">
        <v>299</v>
      </c>
      <c r="H63" s="1" t="s">
        <v>300</v>
      </c>
      <c r="I63" s="1" t="s">
        <v>301</v>
      </c>
      <c r="J63" s="1" t="s">
        <v>24</v>
      </c>
      <c r="K63" s="1" t="s">
        <v>69</v>
      </c>
      <c r="L63" s="12" t="s">
        <v>189</v>
      </c>
      <c r="M63" s="15" t="s">
        <v>302</v>
      </c>
    </row>
    <row r="64" spans="1:13">
      <c r="A64" s="1">
        <v>61</v>
      </c>
      <c r="B64" s="1" t="s">
        <v>17</v>
      </c>
      <c r="C64" s="1" t="s">
        <v>149</v>
      </c>
      <c r="D64" s="1" t="str" cm="1">
        <f t="array" ref="D64">_xlfn.IFS(J64="经验不限","初级",J64="1-3年","初级",J64="3-5年","中级",J64="5-10年","高级",J64="10年以上","资深")</f>
        <v>中级</v>
      </c>
      <c r="E64" s="12" cm="1">
        <f t="array" ref="E64">_xlfn.IFS(D64="初级",1,D64="中级",2,D64="高级",3,D64="资深",4,D64="管理",5)</f>
        <v>2</v>
      </c>
      <c r="F64" s="13" t="s">
        <v>182</v>
      </c>
      <c r="G64" s="14" t="s">
        <v>224</v>
      </c>
      <c r="H64" s="1" t="s">
        <v>303</v>
      </c>
      <c r="I64" s="1" t="s">
        <v>304</v>
      </c>
      <c r="J64" s="1" t="s">
        <v>76</v>
      </c>
      <c r="K64" s="1" t="s">
        <v>69</v>
      </c>
      <c r="L64" s="12" t="s">
        <v>257</v>
      </c>
      <c r="M64" s="15" t="s">
        <v>305</v>
      </c>
    </row>
    <row r="65" ht="27" spans="1:13">
      <c r="A65" s="1">
        <v>62</v>
      </c>
      <c r="B65" s="1" t="s">
        <v>21</v>
      </c>
      <c r="C65" s="1" t="s">
        <v>149</v>
      </c>
      <c r="D65" s="1" t="s">
        <v>19</v>
      </c>
      <c r="E65" s="12" cm="1">
        <f t="array" ref="E65">_xlfn.IFS(D65="初级",1,D65="中级",2,D65="高级",3,D65="资深",4,D65="管理",5)</f>
        <v>3</v>
      </c>
      <c r="F65" s="13" t="s">
        <v>306</v>
      </c>
      <c r="G65" s="14" t="s">
        <v>132</v>
      </c>
      <c r="H65" s="1" t="s">
        <v>158</v>
      </c>
      <c r="I65" s="1" t="s">
        <v>159</v>
      </c>
      <c r="J65" s="1" t="s">
        <v>24</v>
      </c>
      <c r="K65" s="1" t="s">
        <v>69</v>
      </c>
      <c r="L65" s="12" t="s">
        <v>278</v>
      </c>
      <c r="M65" s="15" t="s">
        <v>307</v>
      </c>
    </row>
    <row r="66" ht="54" spans="1:13">
      <c r="A66" s="1">
        <v>63</v>
      </c>
      <c r="B66" s="1" t="s">
        <v>21</v>
      </c>
      <c r="C66" s="1" t="s">
        <v>149</v>
      </c>
      <c r="D66" s="1" t="str" cm="1">
        <f t="array" ref="D66">_xlfn.IFS(J66="经验不限","初级",J66="1-3年","初级",J66="3-5年","中级",J66="5-10年","高级",J66="10年以上","资深")</f>
        <v>高级</v>
      </c>
      <c r="E66" s="12" cm="1">
        <f t="array" ref="E66">_xlfn.IFS(D66="初级",1,D66="中级",2,D66="高级",3,D66="资深",4,D66="管理",5)</f>
        <v>3</v>
      </c>
      <c r="F66" s="13" t="s">
        <v>308</v>
      </c>
      <c r="G66" s="14" t="s">
        <v>309</v>
      </c>
      <c r="H66" s="1" t="s">
        <v>310</v>
      </c>
      <c r="I66" s="1" t="s">
        <v>311</v>
      </c>
      <c r="J66" s="1" t="s">
        <v>24</v>
      </c>
      <c r="K66" s="1" t="s">
        <v>69</v>
      </c>
      <c r="L66" s="12" t="s">
        <v>207</v>
      </c>
      <c r="M66" s="15" t="s">
        <v>312</v>
      </c>
    </row>
    <row r="67" ht="40.5" spans="1:13">
      <c r="A67" s="1">
        <v>64</v>
      </c>
      <c r="B67" s="1" t="s">
        <v>13</v>
      </c>
      <c r="C67" s="1" t="s">
        <v>149</v>
      </c>
      <c r="D67" s="1" t="str" cm="1">
        <f t="array" ref="D67">_xlfn.IFS(J67="经验不限","初级",J67="1-3年","初级",J67="3-5年","中级",J67="5-10年","高级",J67="10年以上","资深")</f>
        <v>初级</v>
      </c>
      <c r="E67" s="12" cm="1">
        <f t="array" ref="E67">_xlfn.IFS(D67="初级",1,D67="中级",2,D67="高级",3,D67="资深",4,D67="管理",5)</f>
        <v>1</v>
      </c>
      <c r="F67" s="16" t="s">
        <v>313</v>
      </c>
      <c r="G67" s="14" t="s">
        <v>96</v>
      </c>
      <c r="H67" s="1" t="s">
        <v>169</v>
      </c>
      <c r="I67" s="1" t="s">
        <v>314</v>
      </c>
      <c r="J67" s="1" t="s">
        <v>12</v>
      </c>
      <c r="K67" s="1" t="s">
        <v>69</v>
      </c>
      <c r="L67" s="12" t="s">
        <v>153</v>
      </c>
      <c r="M67" s="15" t="s">
        <v>315</v>
      </c>
    </row>
    <row r="68" ht="27" spans="1:13">
      <c r="A68" s="1">
        <v>65</v>
      </c>
      <c r="B68" s="1" t="s">
        <v>13</v>
      </c>
      <c r="C68" s="1" t="s">
        <v>149</v>
      </c>
      <c r="D68" s="1" t="str" cm="1">
        <f t="array" ref="D68">_xlfn.IFS(J68="经验不限","初级",J68="1-3年","初级",J68="3-5年","中级",J68="5-10年","高级",J68="10年以上","资深")</f>
        <v>初级</v>
      </c>
      <c r="E68" s="12" cm="1">
        <f t="array" ref="E68">_xlfn.IFS(D68="初级",1,D68="中级",2,D68="高级",3,D68="资深",4,D68="管理",5)</f>
        <v>1</v>
      </c>
      <c r="F68" s="16" t="s">
        <v>316</v>
      </c>
      <c r="G68" s="14" t="s">
        <v>317</v>
      </c>
      <c r="H68" s="1" t="s">
        <v>318</v>
      </c>
      <c r="I68" s="1" t="s">
        <v>319</v>
      </c>
      <c r="J68" s="1" t="s">
        <v>12</v>
      </c>
      <c r="K68" s="1" t="s">
        <v>69</v>
      </c>
      <c r="L68" s="12" t="s">
        <v>320</v>
      </c>
      <c r="M68" s="15" t="s">
        <v>321</v>
      </c>
    </row>
    <row r="69" ht="27" spans="1:13">
      <c r="A69" s="1">
        <v>66</v>
      </c>
      <c r="B69" s="1" t="s">
        <v>17</v>
      </c>
      <c r="C69" s="1" t="s">
        <v>149</v>
      </c>
      <c r="D69" s="1" t="str" cm="1">
        <f t="array" ref="D69">_xlfn.IFS(J69="经验不限","初级",J69="1-3年","初级",J69="3-5年","中级",J69="5-10年","高级",J69="10年以上","资深")</f>
        <v>中级</v>
      </c>
      <c r="E69" s="12" cm="1">
        <f t="array" ref="E69">_xlfn.IFS(D69="初级",1,D69="中级",2,D69="高级",3,D69="资深",4,D69="管理",5)</f>
        <v>2</v>
      </c>
      <c r="F69" s="16" t="s">
        <v>322</v>
      </c>
      <c r="G69" s="14" t="s">
        <v>183</v>
      </c>
      <c r="H69" s="1" t="s">
        <v>184</v>
      </c>
      <c r="I69" s="1" t="s">
        <v>185</v>
      </c>
      <c r="J69" s="1" t="s">
        <v>76</v>
      </c>
      <c r="K69" s="1" t="s">
        <v>69</v>
      </c>
      <c r="L69" s="12" t="s">
        <v>254</v>
      </c>
      <c r="M69" s="15" t="s">
        <v>323</v>
      </c>
    </row>
    <row r="70" ht="27" spans="1:13">
      <c r="A70" s="1">
        <v>67</v>
      </c>
      <c r="B70" s="1" t="s">
        <v>17</v>
      </c>
      <c r="C70" s="1" t="s">
        <v>149</v>
      </c>
      <c r="D70" s="1" t="str" cm="1">
        <f t="array" ref="D70">_xlfn.IFS(J70="经验不限","初级",J70="1-3年","初级",J70="3-5年","中级",J70="5-10年","高级",J70="10年以上","资深")</f>
        <v>中级</v>
      </c>
      <c r="E70" s="12" cm="1">
        <f t="array" ref="E70">_xlfn.IFS(D70="初级",1,D70="中级",2,D70="高级",3,D70="资深",4,D70="管理",5)</f>
        <v>2</v>
      </c>
      <c r="F70" s="16" t="s">
        <v>324</v>
      </c>
      <c r="G70" s="14" t="s">
        <v>132</v>
      </c>
      <c r="H70" s="1" t="s">
        <v>158</v>
      </c>
      <c r="I70" s="1" t="s">
        <v>159</v>
      </c>
      <c r="J70" s="1" t="s">
        <v>76</v>
      </c>
      <c r="K70" s="1" t="s">
        <v>69</v>
      </c>
      <c r="L70" s="12" t="s">
        <v>257</v>
      </c>
      <c r="M70" s="15" t="s">
        <v>325</v>
      </c>
    </row>
    <row r="71" ht="27" spans="1:13">
      <c r="A71" s="1">
        <v>68</v>
      </c>
      <c r="B71" s="1" t="s">
        <v>13</v>
      </c>
      <c r="C71" s="1" t="s">
        <v>149</v>
      </c>
      <c r="D71" s="1" t="str" cm="1">
        <f t="array" ref="D71">_xlfn.IFS(J71="经验不限","初级",J71="1-3年","初级",J71="3-5年","中级",J71="5-10年","高级",J71="10年以上","资深")</f>
        <v>初级</v>
      </c>
      <c r="E71" s="12" cm="1">
        <f t="array" ref="E71">_xlfn.IFS(D71="初级",1,D71="中级",2,D71="高级",3,D71="资深",4,D71="管理",5)</f>
        <v>1</v>
      </c>
      <c r="F71" s="16" t="s">
        <v>326</v>
      </c>
      <c r="G71" s="14" t="s">
        <v>65</v>
      </c>
      <c r="H71" s="1" t="s">
        <v>66</v>
      </c>
      <c r="I71" s="1" t="s">
        <v>156</v>
      </c>
      <c r="J71" s="1" t="s">
        <v>12</v>
      </c>
      <c r="K71" s="1" t="s">
        <v>69</v>
      </c>
      <c r="L71" s="12" t="s">
        <v>327</v>
      </c>
      <c r="M71" s="15" t="s">
        <v>328</v>
      </c>
    </row>
    <row r="72" ht="94.5" spans="1:13">
      <c r="A72" s="1">
        <v>69</v>
      </c>
      <c r="B72" s="1" t="s">
        <v>13</v>
      </c>
      <c r="C72" s="1" t="s">
        <v>149</v>
      </c>
      <c r="D72" s="1" t="str" cm="1">
        <f t="array" ref="D72">_xlfn.IFS(J72="经验不限","初级",J72="1-3年","初级",J72="3-5年","中级",J72="5-10年","高级",J72="10年以上","资深")</f>
        <v>初级</v>
      </c>
      <c r="E72" s="12" cm="1">
        <f t="array" ref="E72">_xlfn.IFS(D72="初级",1,D72="中级",2,D72="高级",3,D72="资深",4,D72="管理",5)</f>
        <v>1</v>
      </c>
      <c r="F72" s="16" t="s">
        <v>329</v>
      </c>
      <c r="G72" s="14" t="s">
        <v>177</v>
      </c>
      <c r="H72" s="1" t="s">
        <v>178</v>
      </c>
      <c r="I72" s="1" t="s">
        <v>179</v>
      </c>
      <c r="J72" s="1" t="s">
        <v>12</v>
      </c>
      <c r="K72" s="1" t="s">
        <v>69</v>
      </c>
      <c r="L72" s="12" t="s">
        <v>160</v>
      </c>
      <c r="M72" s="15" t="s">
        <v>330</v>
      </c>
    </row>
    <row r="73" spans="1:13">
      <c r="A73" s="1">
        <v>70</v>
      </c>
      <c r="B73" s="1" t="s">
        <v>17</v>
      </c>
      <c r="C73" s="1" t="s">
        <v>149</v>
      </c>
      <c r="D73" s="1" t="str" cm="1">
        <f t="array" ref="D73">_xlfn.IFS(J73="经验不限","初级",J73="1-3年","初级",J73="3-5年","中级",J73="5-10年","高级",J73="10年以上","资深")</f>
        <v>中级</v>
      </c>
      <c r="E73" s="12" cm="1">
        <f t="array" ref="E73">_xlfn.IFS(D73="初级",1,D73="中级",2,D73="高级",3,D73="资深",4,D73="管理",5)</f>
        <v>2</v>
      </c>
      <c r="F73" s="16" t="s">
        <v>331</v>
      </c>
      <c r="G73" s="14" t="s">
        <v>146</v>
      </c>
      <c r="H73" s="1" t="s">
        <v>332</v>
      </c>
      <c r="I73" s="1" t="s">
        <v>333</v>
      </c>
      <c r="J73" s="1" t="s">
        <v>76</v>
      </c>
      <c r="K73" s="1" t="s">
        <v>69</v>
      </c>
      <c r="L73" s="12" t="s">
        <v>334</v>
      </c>
      <c r="M73" s="15" t="s">
        <v>335</v>
      </c>
    </row>
    <row r="74" spans="1:13">
      <c r="A74" s="1">
        <v>71</v>
      </c>
      <c r="B74" s="1" t="s">
        <v>13</v>
      </c>
      <c r="C74" s="1" t="s">
        <v>149</v>
      </c>
      <c r="D74" s="1" t="str" cm="1">
        <f t="array" ref="D74">_xlfn.IFS(J74="经验不限","初级",J74="1-3年","初级",J74="3-5年","中级",J74="5-10年","高级",J74="10年以上","资深")</f>
        <v>初级</v>
      </c>
      <c r="E74" s="12" cm="1">
        <f t="array" ref="E74">_xlfn.IFS(D74="初级",1,D74="中级",2,D74="高级",3,D74="资深",4,D74="管理",5)</f>
        <v>1</v>
      </c>
      <c r="F74" s="13" t="s">
        <v>336</v>
      </c>
      <c r="G74" t="s">
        <v>103</v>
      </c>
      <c r="H74" t="s">
        <v>265</v>
      </c>
      <c r="I74" t="s">
        <v>337</v>
      </c>
      <c r="J74" t="s">
        <v>12</v>
      </c>
      <c r="K74" s="1" t="s">
        <v>69</v>
      </c>
      <c r="L74" s="12" t="s">
        <v>338</v>
      </c>
      <c r="M74" s="15" t="s">
        <v>339</v>
      </c>
    </row>
    <row r="75" spans="1:13">
      <c r="A75" s="1">
        <v>72</v>
      </c>
      <c r="B75" s="1" t="s">
        <v>17</v>
      </c>
      <c r="C75" s="1" t="s">
        <v>149</v>
      </c>
      <c r="D75" s="1" t="str" cm="1">
        <f t="array" ref="D75">_xlfn.IFS(J75="经验不限","初级",J75="1-3年","初级",J75="3-5年","中级",J75="5-10年","高级",J75="10年以上","资深")</f>
        <v>中级</v>
      </c>
      <c r="E75" s="12"/>
      <c r="F75" s="13" t="s">
        <v>95</v>
      </c>
      <c r="G75" s="14" t="s">
        <v>96</v>
      </c>
      <c r="H75" s="1" t="s">
        <v>169</v>
      </c>
      <c r="I75" s="1" t="s">
        <v>170</v>
      </c>
      <c r="J75" s="1" t="s">
        <v>76</v>
      </c>
      <c r="K75" s="1" t="s">
        <v>69</v>
      </c>
      <c r="L75" s="12" t="s">
        <v>153</v>
      </c>
      <c r="M75" s="15" t="s">
        <v>339</v>
      </c>
    </row>
    <row r="76" spans="1:13">
      <c r="A76" s="1">
        <v>73</v>
      </c>
      <c r="B76" s="1" t="s">
        <v>17</v>
      </c>
      <c r="C76" s="1" t="s">
        <v>149</v>
      </c>
      <c r="D76" s="1" t="str" cm="1">
        <f t="array" ref="D76">_xlfn.IFS(J76="经验不限","初级",J76="1-3年","初级",J76="3-5年","中级",J76="5-10年","高级",J76="10年以上","资深")</f>
        <v>中级</v>
      </c>
      <c r="E76" s="12" cm="1">
        <f t="array" ref="E76">_xlfn.IFS(D76="初级",1,D76="中级",2,D76="高级",3,D76="资深",4,D76="管理",5)</f>
        <v>2</v>
      </c>
      <c r="F76" s="16" t="s">
        <v>340</v>
      </c>
      <c r="G76" s="14" t="s">
        <v>341</v>
      </c>
      <c r="H76" s="1" t="s">
        <v>342</v>
      </c>
      <c r="I76" s="1" t="s">
        <v>139</v>
      </c>
      <c r="J76" s="1" t="s">
        <v>76</v>
      </c>
      <c r="K76" s="1" t="s">
        <v>69</v>
      </c>
      <c r="L76" s="12" t="s">
        <v>160</v>
      </c>
      <c r="M76" s="15" t="s">
        <v>343</v>
      </c>
    </row>
    <row r="77" spans="1:13">
      <c r="A77" s="1">
        <v>74</v>
      </c>
      <c r="B77" s="1" t="s">
        <v>17</v>
      </c>
      <c r="C77" s="1" t="s">
        <v>149</v>
      </c>
      <c r="D77" s="1" t="str" cm="1">
        <f t="array" ref="D77">_xlfn.IFS(J77="经验不限","初级",J77="1-3年","初级",J77="3-5年","中级",J77="5-10年","高级",J77="10年以上","资深")</f>
        <v>中级</v>
      </c>
      <c r="E77" s="12"/>
      <c r="F77" s="13"/>
      <c r="G77" s="14" t="s">
        <v>344</v>
      </c>
      <c r="H77" s="1" t="s">
        <v>345</v>
      </c>
      <c r="I77" s="1" t="s">
        <v>346</v>
      </c>
      <c r="J77" s="1" t="s">
        <v>76</v>
      </c>
      <c r="K77" s="1" t="s">
        <v>69</v>
      </c>
      <c r="L77" s="12" t="s">
        <v>189</v>
      </c>
      <c r="M77" s="15" t="s">
        <v>347</v>
      </c>
    </row>
    <row r="78" spans="1:13">
      <c r="A78" s="1">
        <v>75</v>
      </c>
      <c r="B78" s="1" t="s">
        <v>17</v>
      </c>
      <c r="C78" s="1" t="s">
        <v>149</v>
      </c>
      <c r="D78" s="1" t="s">
        <v>15</v>
      </c>
      <c r="E78" s="12" cm="1">
        <f t="array" ref="E78">_xlfn.IFS(D78="初级",1,D78="中级",2,D78="高级",3,D78="资深",4,D78="管理",5)</f>
        <v>2</v>
      </c>
      <c r="F78" s="16" t="s">
        <v>348</v>
      </c>
      <c r="G78" s="14" t="s">
        <v>103</v>
      </c>
      <c r="H78" s="1" t="s">
        <v>265</v>
      </c>
      <c r="I78" s="1" t="s">
        <v>349</v>
      </c>
      <c r="J78" s="1" t="s">
        <v>76</v>
      </c>
      <c r="K78" s="1" t="s">
        <v>69</v>
      </c>
      <c r="L78" s="12" t="s">
        <v>77</v>
      </c>
      <c r="M78" s="15" t="s">
        <v>350</v>
      </c>
    </row>
    <row r="79" ht="40.5" spans="1:13">
      <c r="A79" s="1"/>
      <c r="B79" s="1" t="s">
        <v>21</v>
      </c>
      <c r="C79" s="1" t="s">
        <v>149</v>
      </c>
      <c r="D79" s="1" t="s">
        <v>19</v>
      </c>
      <c r="E79" s="12"/>
      <c r="F79" s="16" t="s">
        <v>351</v>
      </c>
      <c r="G79" t="s">
        <v>309</v>
      </c>
      <c r="H79" t="s">
        <v>310</v>
      </c>
      <c r="I79" t="s">
        <v>311</v>
      </c>
      <c r="J79" t="s">
        <v>24</v>
      </c>
      <c r="K79" t="s">
        <v>69</v>
      </c>
      <c r="L79" s="12" t="s">
        <v>207</v>
      </c>
      <c r="M79" s="15"/>
    </row>
    <row r="80" spans="1:13">
      <c r="A80" s="1">
        <v>76</v>
      </c>
      <c r="B80" s="1" t="s">
        <v>21</v>
      </c>
      <c r="C80" s="1" t="s">
        <v>149</v>
      </c>
      <c r="D80" s="1" t="s">
        <v>19</v>
      </c>
      <c r="E80" s="12" cm="1">
        <f t="array" ref="E80">_xlfn.IFS(D80="初级",1,D80="中级",2,D80="高级",3,D80="资深",4,D80="管理",5)</f>
        <v>3</v>
      </c>
      <c r="F80" s="13" t="s">
        <v>352</v>
      </c>
      <c r="G80" s="14" t="s">
        <v>103</v>
      </c>
      <c r="H80" s="1" t="s">
        <v>265</v>
      </c>
      <c r="I80" s="1" t="s">
        <v>349</v>
      </c>
      <c r="J80" s="1" t="s">
        <v>24</v>
      </c>
      <c r="K80" s="1" t="s">
        <v>69</v>
      </c>
      <c r="L80" s="12" t="s">
        <v>195</v>
      </c>
      <c r="M80" s="15" t="s">
        <v>353</v>
      </c>
    </row>
    <row r="81" ht="27" spans="1:13">
      <c r="A81" s="1">
        <v>77</v>
      </c>
      <c r="B81" s="1" t="s">
        <v>13</v>
      </c>
      <c r="C81" s="1" t="s">
        <v>149</v>
      </c>
      <c r="D81" s="1" t="str" cm="1">
        <f t="array" ref="D81">_xlfn.IFS(J81="经验不限","初级",J81="1-3年","初级",J81="3-5年","中级",J81="5-10年","高级",J81="10年以上","资深")</f>
        <v>初级</v>
      </c>
      <c r="E81" s="12" cm="1">
        <f t="array" ref="E81">_xlfn.IFS(D81="初级",1,D81="中级",2,D81="高级",3,D81="资深",4,D81="管理",5)</f>
        <v>1</v>
      </c>
      <c r="F81" s="13" t="s">
        <v>354</v>
      </c>
      <c r="G81" s="14" t="s">
        <v>96</v>
      </c>
      <c r="H81" s="1" t="s">
        <v>169</v>
      </c>
      <c r="I81" s="1" t="s">
        <v>355</v>
      </c>
      <c r="J81" s="1" t="s">
        <v>12</v>
      </c>
      <c r="K81" s="1" t="s">
        <v>69</v>
      </c>
      <c r="L81" s="12" t="s">
        <v>140</v>
      </c>
      <c r="M81" s="15" t="s">
        <v>356</v>
      </c>
    </row>
    <row r="82" ht="27" spans="1:13">
      <c r="A82" s="1">
        <v>78</v>
      </c>
      <c r="B82" s="1" t="s">
        <v>21</v>
      </c>
      <c r="C82" s="1" t="s">
        <v>149</v>
      </c>
      <c r="D82" s="1" t="str" cm="1">
        <f t="array" ref="D82">_xlfn.IFS(J82="经验不限","初级",J82="1-3年","初级",J82="3-5年","中级",J82="5-10年","高级",J82="10年以上","资深")</f>
        <v>高级</v>
      </c>
      <c r="E82" s="12" cm="1">
        <f t="array" ref="E82">_xlfn.IFS(D82="初级",1,D82="中级",2,D82="高级",3,D82="资深",4,D82="管理",5)</f>
        <v>3</v>
      </c>
      <c r="F82" s="13" t="s">
        <v>357</v>
      </c>
      <c r="G82" s="14" t="s">
        <v>260</v>
      </c>
      <c r="H82" s="1" t="s">
        <v>261</v>
      </c>
      <c r="I82" s="1" t="s">
        <v>262</v>
      </c>
      <c r="J82" s="1" t="s">
        <v>24</v>
      </c>
      <c r="K82" s="1" t="s">
        <v>69</v>
      </c>
      <c r="L82" s="12" t="s">
        <v>93</v>
      </c>
      <c r="M82" s="15" t="s">
        <v>358</v>
      </c>
    </row>
    <row r="83" ht="54" spans="1:13">
      <c r="A83" s="1">
        <v>79</v>
      </c>
      <c r="B83" s="1" t="s">
        <v>17</v>
      </c>
      <c r="C83" s="1" t="s">
        <v>149</v>
      </c>
      <c r="D83" s="1" t="str" cm="1">
        <f t="array" ref="D83">_xlfn.IFS(J83="经验不限","初级",J83="1-3年","初级",J83="3-5年","中级",J83="5-10年","高级",J83="10年以上","资深")</f>
        <v>中级</v>
      </c>
      <c r="E83" s="12" cm="1">
        <f t="array" ref="E83">_xlfn.IFS(D83="初级",1,D83="中级",2,D83="高级",3,D83="资深",4,D83="管理",5)</f>
        <v>2</v>
      </c>
      <c r="F83" s="13" t="s">
        <v>359</v>
      </c>
      <c r="G83" s="14" t="s">
        <v>132</v>
      </c>
      <c r="H83" s="1" t="s">
        <v>158</v>
      </c>
      <c r="I83" s="1" t="s">
        <v>159</v>
      </c>
      <c r="J83" s="1" t="s">
        <v>76</v>
      </c>
      <c r="K83" s="1" t="s">
        <v>69</v>
      </c>
      <c r="L83" s="12" t="s">
        <v>153</v>
      </c>
      <c r="M83" s="15" t="s">
        <v>360</v>
      </c>
    </row>
    <row r="84" ht="27" spans="1:13">
      <c r="A84" s="1">
        <v>80</v>
      </c>
      <c r="B84" s="1" t="s">
        <v>13</v>
      </c>
      <c r="C84" s="1" t="s">
        <v>149</v>
      </c>
      <c r="D84" s="1" t="s">
        <v>11</v>
      </c>
      <c r="E84" s="12" cm="1">
        <f t="array" ref="E84">_xlfn.IFS(D84="初级",1,D84="中级",2,D84="高级",3,D84="资深",4,D84="管理",5)</f>
        <v>1</v>
      </c>
      <c r="F84" s="13" t="s">
        <v>361</v>
      </c>
      <c r="G84" s="14" t="s">
        <v>362</v>
      </c>
      <c r="H84" s="1"/>
      <c r="I84" s="1"/>
      <c r="J84" s="1" t="s">
        <v>12</v>
      </c>
      <c r="K84" s="1" t="s">
        <v>69</v>
      </c>
      <c r="L84" s="12" t="s">
        <v>327</v>
      </c>
      <c r="M84" s="15" t="s">
        <v>363</v>
      </c>
    </row>
    <row r="85" ht="40.5" spans="1:13">
      <c r="A85" s="1">
        <v>81</v>
      </c>
      <c r="B85" s="1" t="s">
        <v>17</v>
      </c>
      <c r="C85" s="1" t="s">
        <v>149</v>
      </c>
      <c r="D85" s="1" t="str" cm="1">
        <f t="array" ref="D85">_xlfn.IFS(J85="经验不限","初级",J85="1-3年","初级",J85="3-5年","中级",J85="5-10年","高级",J85="10年以上","资深")</f>
        <v>中级</v>
      </c>
      <c r="E85" s="12" cm="1">
        <f t="array" ref="E85">_xlfn.IFS(D85="初级",1,D85="中级",2,D85="高级",3,D85="资深",4,D85="管理",5)</f>
        <v>2</v>
      </c>
      <c r="F85" s="13" t="s">
        <v>364</v>
      </c>
      <c r="G85" s="14" t="s">
        <v>90</v>
      </c>
      <c r="H85" s="1" t="s">
        <v>252</v>
      </c>
      <c r="I85" s="1" t="s">
        <v>365</v>
      </c>
      <c r="J85" s="1" t="s">
        <v>76</v>
      </c>
      <c r="K85" s="1" t="s">
        <v>69</v>
      </c>
      <c r="L85" s="12" t="s">
        <v>257</v>
      </c>
      <c r="M85" s="15" t="s">
        <v>366</v>
      </c>
    </row>
    <row r="86" ht="67.5" spans="1:13">
      <c r="A86" s="1">
        <v>82</v>
      </c>
      <c r="B86" s="1" t="s">
        <v>17</v>
      </c>
      <c r="C86" s="1" t="s">
        <v>149</v>
      </c>
      <c r="D86" s="1" t="str" cm="1">
        <f t="array" ref="D86">_xlfn.IFS(J86="经验不限","初级",J86="1-3年","初级",J86="3-5年","中级",J86="5-10年","高级",J86="10年以上","资深")</f>
        <v>中级</v>
      </c>
      <c r="E86" s="12" cm="1">
        <f t="array" ref="E86">_xlfn.IFS(D86="初级",1,D86="中级",2,D86="高级",3,D86="资深",4,D86="管理",5)</f>
        <v>2</v>
      </c>
      <c r="F86" s="13" t="s">
        <v>367</v>
      </c>
      <c r="G86" s="14" t="s">
        <v>124</v>
      </c>
      <c r="H86" s="1" t="s">
        <v>201</v>
      </c>
      <c r="I86" s="1" t="s">
        <v>202</v>
      </c>
      <c r="J86" s="1" t="s">
        <v>76</v>
      </c>
      <c r="K86" s="1" t="s">
        <v>69</v>
      </c>
      <c r="L86" s="12" t="s">
        <v>203</v>
      </c>
      <c r="M86" s="15" t="s">
        <v>368</v>
      </c>
    </row>
    <row r="87" ht="27" spans="1:13">
      <c r="A87" s="1">
        <v>83</v>
      </c>
      <c r="B87" s="1" t="s">
        <v>17</v>
      </c>
      <c r="C87" s="1" t="s">
        <v>149</v>
      </c>
      <c r="D87" s="1" t="str" cm="1">
        <f t="array" ref="D87">_xlfn.IFS(J87="经验不限","初级",J87="1-3年","初级",J87="3-5年","中级",J87="5-10年","高级",J87="10年以上","资深")</f>
        <v>中级</v>
      </c>
      <c r="E87" s="12" cm="1">
        <f t="array" ref="E87">_xlfn.IFS(D87="初级",1,D87="中级",2,D87="高级",3,D87="资深",4,D87="管理",5)</f>
        <v>2</v>
      </c>
      <c r="F87" s="13" t="s">
        <v>369</v>
      </c>
      <c r="G87" s="14" t="s">
        <v>96</v>
      </c>
      <c r="H87" s="1" t="s">
        <v>169</v>
      </c>
      <c r="I87" s="1" t="s">
        <v>314</v>
      </c>
      <c r="J87" s="1" t="s">
        <v>76</v>
      </c>
      <c r="K87" s="1" t="s">
        <v>69</v>
      </c>
      <c r="L87" s="12" t="s">
        <v>370</v>
      </c>
      <c r="M87" s="15" t="s">
        <v>371</v>
      </c>
    </row>
    <row r="88" ht="81" spans="1:13">
      <c r="A88" s="1">
        <v>84</v>
      </c>
      <c r="B88" s="1" t="s">
        <v>17</v>
      </c>
      <c r="C88" s="1" t="s">
        <v>149</v>
      </c>
      <c r="D88" s="1" t="str" cm="1">
        <f t="array" ref="D88">_xlfn.IFS(J88="经验不限","初级",J88="1-3年","初级",J88="3-5年","中级",J88="5-10年","高级",J88="10年以上","资深")</f>
        <v>中级</v>
      </c>
      <c r="E88" s="12" cm="1">
        <f t="array" ref="E88">_xlfn.IFS(D88="初级",1,D88="中级",2,D88="高级",3,D88="资深",4,D88="管理",5)</f>
        <v>2</v>
      </c>
      <c r="F88" s="13" t="s">
        <v>372</v>
      </c>
      <c r="G88" s="14" t="s">
        <v>103</v>
      </c>
      <c r="H88" s="1" t="s">
        <v>265</v>
      </c>
      <c r="I88" s="1" t="s">
        <v>266</v>
      </c>
      <c r="J88" s="1" t="s">
        <v>76</v>
      </c>
      <c r="K88" s="1" t="s">
        <v>69</v>
      </c>
      <c r="L88" s="12" t="s">
        <v>215</v>
      </c>
      <c r="M88" s="15" t="s">
        <v>373</v>
      </c>
    </row>
    <row r="89" ht="27" spans="1:13">
      <c r="A89" s="1">
        <v>85</v>
      </c>
      <c r="B89" s="1" t="s">
        <v>21</v>
      </c>
      <c r="C89" s="1" t="s">
        <v>149</v>
      </c>
      <c r="D89" s="1" t="str" cm="1">
        <f t="array" ref="D89">_xlfn.IFS(J89="经验不限","初级",J89="1-3年","初级",J89="3-5年","中级",J89="5-10年","高级",J89="10年以上","资深")</f>
        <v>高级</v>
      </c>
      <c r="E89" s="12" cm="1">
        <f t="array" ref="E89">_xlfn.IFS(D89="初级",1,D89="中级",2,D89="高级",3,D89="资深",4,D89="管理",5)</f>
        <v>3</v>
      </c>
      <c r="F89" s="13" t="s">
        <v>374</v>
      </c>
      <c r="G89" s="14" t="s">
        <v>375</v>
      </c>
      <c r="H89" s="1" t="s">
        <v>376</v>
      </c>
      <c r="I89" s="1" t="s">
        <v>377</v>
      </c>
      <c r="J89" s="1" t="s">
        <v>24</v>
      </c>
      <c r="K89" s="1" t="s">
        <v>69</v>
      </c>
      <c r="L89" s="12" t="s">
        <v>378</v>
      </c>
      <c r="M89" s="15" t="s">
        <v>379</v>
      </c>
    </row>
    <row r="90" ht="40.5" spans="1:13">
      <c r="A90" s="1">
        <v>86</v>
      </c>
      <c r="B90" s="1" t="s">
        <v>17</v>
      </c>
      <c r="C90" s="1" t="s">
        <v>149</v>
      </c>
      <c r="D90" s="1" t="str" cm="1">
        <f t="array" ref="D90">_xlfn.IFS(J90="经验不限","初级",J90="1-3年","初级",J90="3-5年","中级",J90="5-10年","高级",J90="10年以上","资深")</f>
        <v>中级</v>
      </c>
      <c r="E90" s="12" cm="1">
        <f t="array" ref="E90">_xlfn.IFS(D90="初级",1,D90="中级",2,D90="高级",3,D90="资深",4,D90="管理",5)</f>
        <v>2</v>
      </c>
      <c r="F90" s="13" t="s">
        <v>380</v>
      </c>
      <c r="G90" s="14" t="s">
        <v>124</v>
      </c>
      <c r="H90" s="1" t="s">
        <v>201</v>
      </c>
      <c r="I90" s="1" t="s">
        <v>202</v>
      </c>
      <c r="J90" s="1" t="s">
        <v>76</v>
      </c>
      <c r="K90" s="1" t="s">
        <v>69</v>
      </c>
      <c r="L90" s="12" t="s">
        <v>257</v>
      </c>
      <c r="M90" s="15" t="s">
        <v>381</v>
      </c>
    </row>
    <row r="91" spans="1:13">
      <c r="A91" s="1">
        <v>87</v>
      </c>
      <c r="B91" s="1" t="s">
        <v>21</v>
      </c>
      <c r="C91" s="1" t="s">
        <v>149</v>
      </c>
      <c r="D91" s="1" t="str" cm="1">
        <f t="array" ref="D91">_xlfn.IFS(J91="经验不限","初级",J91="1-3年","初级",J91="3-5年","中级",J91="5-10年","高级",J91="10年以上","资深")</f>
        <v>高级</v>
      </c>
      <c r="E91" s="12" cm="1">
        <f t="array" ref="E91">_xlfn.IFS(D91="初级",1,D91="中级",2,D91="高级",3,D91="资深",4,D91="管理",5)</f>
        <v>3</v>
      </c>
      <c r="F91" s="13" t="s">
        <v>382</v>
      </c>
      <c r="G91" s="14" t="s">
        <v>177</v>
      </c>
      <c r="H91" s="1" t="s">
        <v>383</v>
      </c>
      <c r="I91" s="1" t="s">
        <v>384</v>
      </c>
      <c r="J91" s="1" t="s">
        <v>24</v>
      </c>
      <c r="K91" s="1" t="s">
        <v>69</v>
      </c>
      <c r="L91" s="12" t="s">
        <v>153</v>
      </c>
      <c r="M91" s="15" t="s">
        <v>385</v>
      </c>
    </row>
    <row r="92" spans="1:13">
      <c r="A92" s="1">
        <v>88</v>
      </c>
      <c r="B92" s="1" t="s">
        <v>13</v>
      </c>
      <c r="C92" s="1" t="s">
        <v>149</v>
      </c>
      <c r="D92" s="1" t="str" cm="1">
        <f t="array" ref="D92">_xlfn.IFS(J92="经验不限","初级",J92="1-3年","初级",J92="3-5年","中级",J92="5-10年","高级",J92="10年以上","资深")</f>
        <v>初级</v>
      </c>
      <c r="E92" s="12" cm="1">
        <f t="array" ref="E92">_xlfn.IFS(D92="初级",1,D92="中级",2,D92="高级",3,D92="资深",4,D92="管理",5)</f>
        <v>1</v>
      </c>
      <c r="F92" s="13" t="s">
        <v>386</v>
      </c>
      <c r="G92" s="14" t="s">
        <v>124</v>
      </c>
      <c r="H92" s="1" t="s">
        <v>201</v>
      </c>
      <c r="I92" s="1" t="s">
        <v>202</v>
      </c>
      <c r="J92" s="1" t="s">
        <v>12</v>
      </c>
      <c r="K92" s="1" t="s">
        <v>69</v>
      </c>
      <c r="L92" s="12" t="s">
        <v>160</v>
      </c>
      <c r="M92" s="15" t="s">
        <v>387</v>
      </c>
    </row>
    <row r="93" ht="27" spans="1:13">
      <c r="A93" s="1">
        <v>89</v>
      </c>
      <c r="B93" s="1" t="s">
        <v>17</v>
      </c>
      <c r="C93" s="1" t="s">
        <v>149</v>
      </c>
      <c r="D93" s="1" t="str" cm="1">
        <f t="array" ref="D93">_xlfn.IFS(J93="经验不限","初级",J93="1-3年","初级",J93="3-5年","中级",J93="5-10年","高级",J93="10年以上","资深")</f>
        <v>中级</v>
      </c>
      <c r="E93" s="12" cm="1">
        <f t="array" ref="E93">_xlfn.IFS(D93="初级",1,D93="中级",2,D93="高级",3,D93="资深",4,D93="管理",5)</f>
        <v>2</v>
      </c>
      <c r="F93" s="13" t="s">
        <v>388</v>
      </c>
      <c r="G93" s="14" t="s">
        <v>73</v>
      </c>
      <c r="H93" s="1" t="s">
        <v>238</v>
      </c>
      <c r="I93" s="1" t="s">
        <v>239</v>
      </c>
      <c r="J93" s="1" t="s">
        <v>76</v>
      </c>
      <c r="K93" s="1" t="s">
        <v>69</v>
      </c>
      <c r="L93" s="12" t="s">
        <v>88</v>
      </c>
      <c r="M93" s="15" t="s">
        <v>389</v>
      </c>
    </row>
    <row r="94" ht="27" spans="1:13">
      <c r="A94" s="1">
        <v>90</v>
      </c>
      <c r="B94" s="1" t="s">
        <v>21</v>
      </c>
      <c r="C94" s="1" t="s">
        <v>149</v>
      </c>
      <c r="D94" s="1" t="str" cm="1">
        <f t="array" ref="D94">_xlfn.IFS(J94="经验不限","初级",J94="1-3年","初级",J94="3-5年","中级",J94="5-10年","高级",J94="10年以上","资深")</f>
        <v>高级</v>
      </c>
      <c r="E94" s="12" cm="1">
        <f t="array" ref="E94">_xlfn.IFS(D94="初级",1,D94="中级",2,D94="高级",3,D94="资深",4,D94="管理",5)</f>
        <v>3</v>
      </c>
      <c r="F94" s="13" t="s">
        <v>298</v>
      </c>
      <c r="G94" s="14" t="s">
        <v>247</v>
      </c>
      <c r="H94" s="1" t="s">
        <v>248</v>
      </c>
      <c r="I94" s="1" t="s">
        <v>249</v>
      </c>
      <c r="J94" s="1" t="s">
        <v>24</v>
      </c>
      <c r="K94" s="1" t="s">
        <v>69</v>
      </c>
      <c r="L94" s="12" t="s">
        <v>189</v>
      </c>
      <c r="M94" s="15" t="s">
        <v>390</v>
      </c>
    </row>
    <row r="95" ht="27" spans="1:13">
      <c r="A95" s="1">
        <v>91</v>
      </c>
      <c r="B95" s="1" t="s">
        <v>17</v>
      </c>
      <c r="C95" s="1" t="s">
        <v>149</v>
      </c>
      <c r="D95" s="1" t="str" cm="1">
        <f t="array" ref="D95">_xlfn.IFS(J95="经验不限","初级",J95="1-3年","初级",J95="3-5年","中级",J95="5-10年","高级",J95="10年以上","资深")</f>
        <v>中级</v>
      </c>
      <c r="E95" s="12" cm="1">
        <f t="array" ref="E95">_xlfn.IFS(D95="初级",1,D95="中级",2,D95="高级",3,D95="资深",4,D95="管理",5)</f>
        <v>2</v>
      </c>
      <c r="F95" s="13" t="s">
        <v>391</v>
      </c>
      <c r="G95" s="14" t="s">
        <v>96</v>
      </c>
      <c r="H95" s="1" t="s">
        <v>169</v>
      </c>
      <c r="I95" s="1" t="s">
        <v>170</v>
      </c>
      <c r="J95" s="1" t="s">
        <v>76</v>
      </c>
      <c r="K95" s="1" t="s">
        <v>69</v>
      </c>
      <c r="L95" s="12" t="s">
        <v>278</v>
      </c>
      <c r="M95" s="15" t="s">
        <v>392</v>
      </c>
    </row>
    <row r="96" ht="40.5" spans="1:13">
      <c r="A96" s="1">
        <v>92</v>
      </c>
      <c r="B96" s="1" t="s">
        <v>21</v>
      </c>
      <c r="C96" s="1" t="s">
        <v>149</v>
      </c>
      <c r="D96" s="1" t="str" cm="1">
        <f t="array" ref="D96">_xlfn.IFS(J96="经验不限","初级",J96="1-3年","初级",J96="3-5年","中级",J96="5-10年","高级",J96="10年以上","资深")</f>
        <v>高级</v>
      </c>
      <c r="E96" s="12" cm="1">
        <f t="array" ref="E96">_xlfn.IFS(D96="初级",1,D96="中级",2,D96="高级",3,D96="资深",4,D96="管理",5)</f>
        <v>3</v>
      </c>
      <c r="F96" s="13" t="s">
        <v>393</v>
      </c>
      <c r="G96" s="14" t="s">
        <v>394</v>
      </c>
      <c r="H96" s="1" t="s">
        <v>395</v>
      </c>
      <c r="I96" s="1" t="s">
        <v>396</v>
      </c>
      <c r="J96" s="1" t="s">
        <v>24</v>
      </c>
      <c r="K96" s="1" t="s">
        <v>69</v>
      </c>
      <c r="L96" s="12" t="s">
        <v>207</v>
      </c>
      <c r="M96" s="15" t="s">
        <v>397</v>
      </c>
    </row>
    <row r="97" ht="54" spans="1:13">
      <c r="A97" s="1">
        <v>93</v>
      </c>
      <c r="B97" s="1" t="s">
        <v>17</v>
      </c>
      <c r="C97" s="1" t="s">
        <v>149</v>
      </c>
      <c r="D97" s="1" t="str" cm="1">
        <f t="array" ref="D97">_xlfn.IFS(J97="经验不限","初级",J97="1-3年","初级",J97="3-5年","中级",J97="5-10年","高级",J97="10年以上","资深")</f>
        <v>中级</v>
      </c>
      <c r="E97" s="12" cm="1">
        <f t="array" ref="E97">_xlfn.IFS(D97="初级",1,D97="中级",2,D97="高级",3,D97="资深",4,D97="管理",5)</f>
        <v>2</v>
      </c>
      <c r="F97" s="13" t="s">
        <v>398</v>
      </c>
      <c r="G97" s="14" t="s">
        <v>124</v>
      </c>
      <c r="H97" s="1" t="s">
        <v>201</v>
      </c>
      <c r="I97" s="1" t="s">
        <v>202</v>
      </c>
      <c r="J97" s="1" t="s">
        <v>76</v>
      </c>
      <c r="K97" s="1" t="s">
        <v>69</v>
      </c>
      <c r="L97" s="12" t="s">
        <v>153</v>
      </c>
      <c r="M97" s="15" t="s">
        <v>399</v>
      </c>
    </row>
    <row r="98" spans="1:13">
      <c r="A98" s="1">
        <v>94</v>
      </c>
      <c r="B98" s="1" t="s">
        <v>28</v>
      </c>
      <c r="C98" s="1" t="s">
        <v>149</v>
      </c>
      <c r="D98" s="1" t="s">
        <v>101</v>
      </c>
      <c r="E98" s="12" cm="1">
        <f t="array" ref="E98">_xlfn.IFS(D98="初级",1,D98="中级",2,D98="高级",3,D98="资深",4,D98="管理",5)</f>
        <v>5</v>
      </c>
      <c r="F98" s="13"/>
      <c r="G98" s="14" t="s">
        <v>96</v>
      </c>
      <c r="H98" s="1"/>
      <c r="I98" s="1"/>
      <c r="J98" s="1" t="s">
        <v>76</v>
      </c>
      <c r="K98" s="1" t="s">
        <v>69</v>
      </c>
      <c r="L98" s="12" t="s">
        <v>278</v>
      </c>
      <c r="M98" s="15" t="s">
        <v>400</v>
      </c>
    </row>
    <row r="99" ht="27" spans="1:13">
      <c r="A99" s="1">
        <v>95</v>
      </c>
      <c r="B99" s="1" t="s">
        <v>17</v>
      </c>
      <c r="C99" s="1" t="s">
        <v>149</v>
      </c>
      <c r="D99" s="1" t="str" cm="1">
        <f t="array" ref="D99">_xlfn.IFS(J99="经验不限","初级",J99="1-3年","初级",J99="3-5年","中级",J99="5-10年","高级",J99="10年以上","资深")</f>
        <v>中级</v>
      </c>
      <c r="E99" s="12" cm="1">
        <f t="array" ref="E99">_xlfn.IFS(D99="初级",1,D99="中级",2,D99="高级",3,D99="资深",4,D99="管理",5)</f>
        <v>2</v>
      </c>
      <c r="F99" s="13" t="s">
        <v>401</v>
      </c>
      <c r="G99" s="14" t="s">
        <v>362</v>
      </c>
      <c r="H99" s="1"/>
      <c r="I99" s="1"/>
      <c r="J99" s="1" t="s">
        <v>76</v>
      </c>
      <c r="K99" s="1" t="s">
        <v>69</v>
      </c>
      <c r="L99" s="12" t="s">
        <v>207</v>
      </c>
      <c r="M99" s="15" t="s">
        <v>402</v>
      </c>
    </row>
    <row r="100" ht="27" spans="1:13">
      <c r="A100" s="1">
        <v>96</v>
      </c>
      <c r="B100" s="1" t="s">
        <v>17</v>
      </c>
      <c r="C100" s="1" t="s">
        <v>149</v>
      </c>
      <c r="D100" s="1" t="str" cm="1">
        <f t="array" ref="D100">_xlfn.IFS(J100="经验不限","初级",J100="1-3年","初级",J100="3-5年","中级",J100="5-10年","高级",J100="10年以上","资深")</f>
        <v>中级</v>
      </c>
      <c r="E100" s="12" cm="1">
        <f t="array" ref="E100">_xlfn.IFS(D100="初级",1,D100="中级",2,D100="高级",3,D100="资深",4,D100="管理",5)</f>
        <v>2</v>
      </c>
      <c r="F100" s="13" t="s">
        <v>403</v>
      </c>
      <c r="G100" s="14" t="s">
        <v>404</v>
      </c>
      <c r="H100" s="1" t="s">
        <v>405</v>
      </c>
      <c r="I100" s="1" t="s">
        <v>406</v>
      </c>
      <c r="J100" s="1" t="s">
        <v>76</v>
      </c>
      <c r="K100" s="1" t="s">
        <v>69</v>
      </c>
      <c r="L100" s="12" t="s">
        <v>195</v>
      </c>
      <c r="M100" s="15" t="s">
        <v>407</v>
      </c>
    </row>
    <row r="101" ht="81" spans="1:13">
      <c r="A101" s="1">
        <v>97</v>
      </c>
      <c r="B101" s="1" t="s">
        <v>17</v>
      </c>
      <c r="C101" s="1" t="s">
        <v>149</v>
      </c>
      <c r="D101" s="1" t="str" cm="1">
        <f t="array" ref="D101">_xlfn.IFS(J101="经验不限","初级",J101="1-3年","初级",J101="3-5年","中级",J101="5-10年","高级",J101="10年以上","资深")</f>
        <v>中级</v>
      </c>
      <c r="E101" s="12" cm="1">
        <f t="array" ref="E101">_xlfn.IFS(D101="初级",1,D101="中级",2,D101="高级",3,D101="资深",4,D101="管理",5)</f>
        <v>2</v>
      </c>
      <c r="F101" s="13" t="s">
        <v>408</v>
      </c>
      <c r="G101" s="14" t="s">
        <v>96</v>
      </c>
      <c r="H101" s="1" t="s">
        <v>169</v>
      </c>
      <c r="I101" s="1" t="s">
        <v>314</v>
      </c>
      <c r="J101" s="1" t="s">
        <v>76</v>
      </c>
      <c r="K101" s="1" t="s">
        <v>69</v>
      </c>
      <c r="L101" s="12" t="s">
        <v>257</v>
      </c>
      <c r="M101" s="15" t="s">
        <v>409</v>
      </c>
    </row>
    <row r="102" ht="40.5" spans="1:13">
      <c r="A102" s="1">
        <v>98</v>
      </c>
      <c r="B102" s="1" t="s">
        <v>17</v>
      </c>
      <c r="C102" s="1" t="s">
        <v>149</v>
      </c>
      <c r="D102" s="1" t="str" cm="1">
        <f t="array" ref="D102">_xlfn.IFS(J102="经验不限","初级",J102="1-3年","初级",J102="3-5年","中级",J102="5-10年","高级",J102="10年以上","资深")</f>
        <v>中级</v>
      </c>
      <c r="E102" s="12" cm="1">
        <f t="array" ref="E102">_xlfn.IFS(D102="初级",1,D102="中级",2,D102="高级",3,D102="资深",4,D102="管理",5)</f>
        <v>2</v>
      </c>
      <c r="F102" s="13" t="s">
        <v>410</v>
      </c>
      <c r="G102" s="14" t="s">
        <v>177</v>
      </c>
      <c r="H102" s="1" t="s">
        <v>411</v>
      </c>
      <c r="I102" s="1" t="s">
        <v>412</v>
      </c>
      <c r="J102" s="1" t="s">
        <v>76</v>
      </c>
      <c r="K102" s="1" t="s">
        <v>69</v>
      </c>
      <c r="L102" s="12" t="s">
        <v>413</v>
      </c>
      <c r="M102" s="15" t="s">
        <v>414</v>
      </c>
    </row>
    <row r="103" ht="67.5" spans="1:13">
      <c r="A103" s="1">
        <v>99</v>
      </c>
      <c r="B103" s="1" t="s">
        <v>13</v>
      </c>
      <c r="C103" s="1" t="s">
        <v>149</v>
      </c>
      <c r="D103" s="1" t="str" cm="1">
        <f t="array" ref="D103">_xlfn.IFS(J103="经验不限","初级",J103="1-3年","初级",J103="3-5年","中级",J103="5-10年","高级",J103="10年以上","资深")</f>
        <v>初级</v>
      </c>
      <c r="E103" s="12" cm="1">
        <f t="array" ref="E103">_xlfn.IFS(D103="初级",1,D103="中级",2,D103="高级",3,D103="资深",4,D103="管理",5)</f>
        <v>1</v>
      </c>
      <c r="F103" s="13" t="s">
        <v>415</v>
      </c>
      <c r="G103" s="14" t="s">
        <v>96</v>
      </c>
      <c r="H103" s="1" t="s">
        <v>169</v>
      </c>
      <c r="I103" s="1" t="s">
        <v>170</v>
      </c>
      <c r="J103" s="1" t="s">
        <v>12</v>
      </c>
      <c r="K103" s="1" t="s">
        <v>69</v>
      </c>
      <c r="L103" s="12" t="s">
        <v>416</v>
      </c>
      <c r="M103" s="15" t="s">
        <v>417</v>
      </c>
    </row>
    <row r="104" ht="40.5" spans="1:13">
      <c r="A104" s="1">
        <v>100</v>
      </c>
      <c r="B104" s="1" t="s">
        <v>17</v>
      </c>
      <c r="C104" s="1" t="s">
        <v>149</v>
      </c>
      <c r="D104" s="1" t="str" cm="1">
        <f t="array" ref="D104">_xlfn.IFS(J104="经验不限","初级",J104="1-3年","初级",J104="3-5年","中级",J104="5-10年","高级",J104="10年以上","资深")</f>
        <v>中级</v>
      </c>
      <c r="E104" s="12" cm="1">
        <f t="array" ref="E104">_xlfn.IFS(D104="初级",1,D104="中级",2,D104="高级",3,D104="资深",4,D104="管理",5)</f>
        <v>2</v>
      </c>
      <c r="F104" s="13" t="s">
        <v>380</v>
      </c>
      <c r="G104" s="14" t="s">
        <v>132</v>
      </c>
      <c r="H104" s="1" t="s">
        <v>158</v>
      </c>
      <c r="I104" s="1" t="s">
        <v>159</v>
      </c>
      <c r="J104" s="1" t="s">
        <v>76</v>
      </c>
      <c r="K104" s="1" t="s">
        <v>69</v>
      </c>
      <c r="L104" s="12" t="s">
        <v>418</v>
      </c>
      <c r="M104" s="15" t="s">
        <v>419</v>
      </c>
    </row>
    <row r="105" ht="27" spans="1:13">
      <c r="A105" s="1">
        <v>101</v>
      </c>
      <c r="B105" s="1" t="s">
        <v>21</v>
      </c>
      <c r="C105" s="1" t="s">
        <v>149</v>
      </c>
      <c r="D105" s="1" t="str" cm="1">
        <f t="array" ref="D105">_xlfn.IFS(J105="经验不限","初级",J105="1-3年","初级",J105="3-5年","中级",J105="5-10年","高级",J105="10年以上","资深")</f>
        <v>高级</v>
      </c>
      <c r="E105" s="12" cm="1">
        <f t="array" ref="E105">_xlfn.IFS(D105="初级",1,D105="中级",2,D105="高级",3,D105="资深",4,D105="管理",5)</f>
        <v>3</v>
      </c>
      <c r="F105" s="13" t="s">
        <v>420</v>
      </c>
      <c r="G105" s="14" t="s">
        <v>96</v>
      </c>
      <c r="H105" s="1" t="s">
        <v>169</v>
      </c>
      <c r="I105" s="1" t="s">
        <v>170</v>
      </c>
      <c r="J105" s="1" t="s">
        <v>24</v>
      </c>
      <c r="K105" s="1" t="s">
        <v>69</v>
      </c>
      <c r="L105" s="12" t="s">
        <v>378</v>
      </c>
      <c r="M105" s="15" t="s">
        <v>421</v>
      </c>
    </row>
    <row r="106" ht="40.5" spans="1:13">
      <c r="A106" s="1">
        <v>102</v>
      </c>
      <c r="B106" s="1" t="s">
        <v>17</v>
      </c>
      <c r="C106" s="1" t="s">
        <v>149</v>
      </c>
      <c r="D106" s="1" t="str" cm="1">
        <f t="array" ref="D106">_xlfn.IFS(J106="经验不限","初级",J106="1-3年","初级",J106="3-5年","中级",J106="5-10年","高级",J106="10年以上","资深")</f>
        <v>中级</v>
      </c>
      <c r="E106" s="12" cm="1">
        <f t="array" ref="E106">_xlfn.IFS(D106="初级",1,D106="中级",2,D106="高级",3,D106="资深",4,D106="管理",5)</f>
        <v>2</v>
      </c>
      <c r="F106" s="16" t="s">
        <v>422</v>
      </c>
      <c r="G106" s="14" t="s">
        <v>423</v>
      </c>
      <c r="H106" s="1" t="s">
        <v>424</v>
      </c>
      <c r="I106" s="1" t="s">
        <v>425</v>
      </c>
      <c r="J106" s="1" t="s">
        <v>76</v>
      </c>
      <c r="K106" s="1" t="s">
        <v>69</v>
      </c>
      <c r="L106" s="12" t="s">
        <v>88</v>
      </c>
      <c r="M106" s="15" t="s">
        <v>426</v>
      </c>
    </row>
    <row r="107" spans="1:13">
      <c r="A107" s="1">
        <v>103</v>
      </c>
      <c r="B107" s="1" t="s">
        <v>17</v>
      </c>
      <c r="C107" s="1" t="s">
        <v>149</v>
      </c>
      <c r="D107" s="1" t="str" cm="1">
        <f t="array" ref="D107">_xlfn.IFS(J107="经验不限","初级",J107="1-3年","初级",J107="3-5年","中级",J107="5-10年","高级",J107="10年以上","资深")</f>
        <v>中级</v>
      </c>
      <c r="E107" s="12" cm="1">
        <f t="array" ref="E107">_xlfn.IFS(D107="初级",1,D107="中级",2,D107="高级",3,D107="资深",4,D107="管理",5)</f>
        <v>2</v>
      </c>
      <c r="F107" s="13" t="s">
        <v>427</v>
      </c>
      <c r="G107" s="14" t="s">
        <v>428</v>
      </c>
      <c r="H107" s="1" t="s">
        <v>429</v>
      </c>
      <c r="I107" s="1" t="s">
        <v>202</v>
      </c>
      <c r="J107" s="1" t="s">
        <v>76</v>
      </c>
      <c r="K107" s="1" t="s">
        <v>69</v>
      </c>
      <c r="L107" s="12" t="s">
        <v>278</v>
      </c>
      <c r="M107" s="15" t="s">
        <v>430</v>
      </c>
    </row>
    <row r="108" ht="27" spans="1:13">
      <c r="A108" s="1">
        <v>104</v>
      </c>
      <c r="B108" s="1" t="s">
        <v>21</v>
      </c>
      <c r="C108" s="1" t="s">
        <v>149</v>
      </c>
      <c r="D108" s="1" t="s">
        <v>19</v>
      </c>
      <c r="E108" s="12" cm="1">
        <f t="array" ref="E108">_xlfn.IFS(D108="初级",1,D108="中级",2,D108="高级",3,D108="资深",4,D108="管理",5)</f>
        <v>3</v>
      </c>
      <c r="F108" s="13" t="s">
        <v>431</v>
      </c>
      <c r="G108" s="14" t="s">
        <v>187</v>
      </c>
      <c r="H108" s="1" t="s">
        <v>81</v>
      </c>
      <c r="I108" s="1" t="s">
        <v>188</v>
      </c>
      <c r="J108" s="1" t="s">
        <v>24</v>
      </c>
      <c r="K108" s="1" t="s">
        <v>69</v>
      </c>
      <c r="L108" s="12" t="s">
        <v>189</v>
      </c>
      <c r="M108" s="15" t="s">
        <v>432</v>
      </c>
    </row>
    <row r="109" spans="1:13">
      <c r="A109" s="1">
        <v>105</v>
      </c>
      <c r="B109" s="1" t="s">
        <v>17</v>
      </c>
      <c r="C109" s="1" t="s">
        <v>149</v>
      </c>
      <c r="D109" s="1" t="str" cm="1">
        <f t="array" ref="D109">_xlfn.IFS(J109="经验不限","初级",J109="1-3年","初级",J109="3-5年","中级",J109="5-10年","高级",J109="10年以上","资深")</f>
        <v>中级</v>
      </c>
      <c r="E109" s="12" cm="1">
        <f t="array" ref="E109">_xlfn.IFS(D109="初级",1,D109="中级",2,D109="高级",3,D109="资深",4,D109="管理",5)</f>
        <v>2</v>
      </c>
      <c r="F109" s="16" t="s">
        <v>433</v>
      </c>
      <c r="G109" s="14" t="s">
        <v>317</v>
      </c>
      <c r="H109" s="1" t="s">
        <v>318</v>
      </c>
      <c r="I109" s="1" t="s">
        <v>319</v>
      </c>
      <c r="J109" s="1" t="s">
        <v>76</v>
      </c>
      <c r="K109" s="1" t="s">
        <v>69</v>
      </c>
      <c r="L109" s="12" t="s">
        <v>88</v>
      </c>
      <c r="M109" s="15" t="s">
        <v>434</v>
      </c>
    </row>
    <row r="110" spans="1:13">
      <c r="A110" s="1">
        <v>106</v>
      </c>
      <c r="B110" s="1" t="s">
        <v>17</v>
      </c>
      <c r="C110" s="1" t="s">
        <v>149</v>
      </c>
      <c r="D110" s="1" t="s">
        <v>15</v>
      </c>
      <c r="E110" s="12" cm="1">
        <f t="array" ref="E110">_xlfn.IFS(D110="初级",1,D110="中级",2,D110="高级",3,D110="资深",4,D110="管理",5)</f>
        <v>2</v>
      </c>
      <c r="F110" s="13" t="s">
        <v>435</v>
      </c>
      <c r="G110" s="14" t="s">
        <v>90</v>
      </c>
      <c r="H110" s="1" t="s">
        <v>91</v>
      </c>
      <c r="I110" s="1" t="s">
        <v>92</v>
      </c>
      <c r="J110" s="1" t="s">
        <v>76</v>
      </c>
      <c r="K110" s="1" t="s">
        <v>69</v>
      </c>
      <c r="L110" s="12" t="s">
        <v>278</v>
      </c>
      <c r="M110" s="15" t="s">
        <v>436</v>
      </c>
    </row>
    <row r="111" ht="40.5" spans="1:13">
      <c r="A111" s="1">
        <v>107</v>
      </c>
      <c r="B111" s="1" t="s">
        <v>17</v>
      </c>
      <c r="C111" s="1" t="s">
        <v>149</v>
      </c>
      <c r="D111" s="1" t="s">
        <v>15</v>
      </c>
      <c r="E111" s="12" cm="1">
        <f t="array" ref="E111">_xlfn.IFS(D111="初级",1,D111="中级",2,D111="高级",3,D111="资深",4,D111="管理",5)</f>
        <v>2</v>
      </c>
      <c r="F111" s="16" t="s">
        <v>437</v>
      </c>
      <c r="G111" s="14" t="s">
        <v>438</v>
      </c>
      <c r="H111" s="1" t="s">
        <v>439</v>
      </c>
      <c r="I111" s="1" t="s">
        <v>440</v>
      </c>
      <c r="J111" s="1" t="s">
        <v>76</v>
      </c>
      <c r="K111" s="1" t="s">
        <v>69</v>
      </c>
      <c r="L111" s="12" t="s">
        <v>257</v>
      </c>
      <c r="M111" s="15" t="s">
        <v>441</v>
      </c>
    </row>
    <row r="112" ht="54" spans="1:13">
      <c r="A112" s="1">
        <v>108</v>
      </c>
      <c r="B112" s="1" t="s">
        <v>13</v>
      </c>
      <c r="C112" s="1" t="s">
        <v>149</v>
      </c>
      <c r="D112" s="1" t="str" cm="1">
        <f t="array" ref="D112">_xlfn.IFS(J112="经验不限","初级",J112="1-3年","初级",J112="3-5年","中级",J112="5-10年","高级",J112="10年以上","资深")</f>
        <v>初级</v>
      </c>
      <c r="E112" s="12" cm="1">
        <f t="array" ref="E112">_xlfn.IFS(D112="初级",1,D112="中级",2,D112="高级",3,D112="资深",4,D112="管理",5)</f>
        <v>1</v>
      </c>
      <c r="F112" s="16" t="s">
        <v>442</v>
      </c>
      <c r="G112" s="14" t="s">
        <v>132</v>
      </c>
      <c r="H112" s="1" t="s">
        <v>443</v>
      </c>
      <c r="I112" s="1" t="s">
        <v>444</v>
      </c>
      <c r="J112" s="1" t="s">
        <v>68</v>
      </c>
      <c r="K112" s="1" t="s">
        <v>69</v>
      </c>
      <c r="L112" s="12" t="s">
        <v>153</v>
      </c>
      <c r="M112" s="15" t="s">
        <v>445</v>
      </c>
    </row>
    <row r="113" spans="1:13">
      <c r="A113" s="1">
        <v>109</v>
      </c>
      <c r="B113" s="1" t="s">
        <v>131</v>
      </c>
      <c r="C113" s="1" t="s">
        <v>149</v>
      </c>
      <c r="D113" s="1" t="s">
        <v>101</v>
      </c>
      <c r="E113" s="12" cm="1">
        <f t="array" ref="E113">_xlfn.IFS(D113="初级",1,D113="中级",2,D113="高级",3,D113="资深",4,D113="管理",5)</f>
        <v>5</v>
      </c>
      <c r="F113" s="13"/>
      <c r="G113" s="14" t="s">
        <v>146</v>
      </c>
      <c r="H113" s="1" t="s">
        <v>332</v>
      </c>
      <c r="I113" s="1" t="s">
        <v>333</v>
      </c>
      <c r="J113" s="1" t="s">
        <v>24</v>
      </c>
      <c r="K113" s="1" t="s">
        <v>69</v>
      </c>
      <c r="L113" s="12" t="s">
        <v>446</v>
      </c>
      <c r="M113" s="15" t="s">
        <v>447</v>
      </c>
    </row>
    <row r="114" ht="40.5" spans="1:13">
      <c r="A114" s="1">
        <v>110</v>
      </c>
      <c r="B114" s="1" t="s">
        <v>21</v>
      </c>
      <c r="C114" s="1" t="s">
        <v>149</v>
      </c>
      <c r="D114" s="1" t="s">
        <v>19</v>
      </c>
      <c r="E114" s="12" cm="1">
        <f t="array" ref="E114">_xlfn.IFS(D114="初级",1,D114="中级",2,D114="高级",3,D114="资深",4,D114="管理",5)</f>
        <v>3</v>
      </c>
      <c r="F114" s="16" t="s">
        <v>437</v>
      </c>
      <c r="G114" s="14" t="s">
        <v>146</v>
      </c>
      <c r="H114" s="1" t="s">
        <v>332</v>
      </c>
      <c r="I114" s="1" t="s">
        <v>333</v>
      </c>
      <c r="J114" s="1" t="s">
        <v>24</v>
      </c>
      <c r="K114" s="1" t="s">
        <v>69</v>
      </c>
      <c r="L114" s="12" t="s">
        <v>189</v>
      </c>
      <c r="M114" s="15" t="s">
        <v>448</v>
      </c>
    </row>
    <row r="115" spans="1:13">
      <c r="A115" s="1">
        <v>111</v>
      </c>
      <c r="B115" s="1" t="s">
        <v>13</v>
      </c>
      <c r="C115" s="1" t="s">
        <v>449</v>
      </c>
      <c r="D115" s="1" t="str" cm="1">
        <f t="array" ref="D115">_xlfn.IFS(J115="经验不限","初级",J115="1-3年","初级",J115="3-5年","中级",J115="5-10年","高级",J115="10年以上","资深")</f>
        <v>初级</v>
      </c>
      <c r="E115" s="12" cm="1">
        <f t="array" ref="E115">_xlfn.IFS(D115="初级",1,D115="中级",2,D115="高级",3,D115="资深",4,D115="管理",5)</f>
        <v>1</v>
      </c>
      <c r="F115" s="13" t="s">
        <v>450</v>
      </c>
      <c r="G115" s="14" t="s">
        <v>247</v>
      </c>
      <c r="H115" s="1" t="s">
        <v>248</v>
      </c>
      <c r="I115" s="1" t="s">
        <v>451</v>
      </c>
      <c r="J115" s="1" t="s">
        <v>12</v>
      </c>
      <c r="K115" s="1" t="s">
        <v>452</v>
      </c>
      <c r="L115" s="12" t="s">
        <v>453</v>
      </c>
      <c r="M115" s="15" t="s">
        <v>454</v>
      </c>
    </row>
    <row r="116" spans="1:13">
      <c r="A116" s="1">
        <v>112</v>
      </c>
      <c r="B116" s="1" t="s">
        <v>17</v>
      </c>
      <c r="C116" s="1" t="s">
        <v>449</v>
      </c>
      <c r="D116" s="1" t="str" cm="1">
        <f t="array" ref="D116">_xlfn.IFS(J116="经验不限","初级",J116="1-3年","初级",J116="3-5年","中级",J116="5-10年","高级",J116="10年以上","资深")</f>
        <v>中级</v>
      </c>
      <c r="E116" s="12" cm="1">
        <f t="array" ref="E116">_xlfn.IFS(D116="初级",1,D116="中级",2,D116="高级",3,D116="资深",4,D116="管理",5)</f>
        <v>2</v>
      </c>
      <c r="F116" s="13" t="s">
        <v>450</v>
      </c>
      <c r="G116" s="14" t="s">
        <v>96</v>
      </c>
      <c r="H116" s="1" t="s">
        <v>97</v>
      </c>
      <c r="I116" s="1" t="s">
        <v>455</v>
      </c>
      <c r="J116" s="1" t="s">
        <v>76</v>
      </c>
      <c r="K116" s="1" t="s">
        <v>69</v>
      </c>
      <c r="L116" s="12" t="s">
        <v>456</v>
      </c>
      <c r="M116" s="15" t="s">
        <v>457</v>
      </c>
    </row>
    <row r="117" ht="40.5" spans="1:13">
      <c r="A117" s="1">
        <v>113</v>
      </c>
      <c r="B117" s="1" t="s">
        <v>13</v>
      </c>
      <c r="C117" s="1" t="s">
        <v>449</v>
      </c>
      <c r="D117" s="1" t="str" cm="1">
        <f t="array" ref="D117">_xlfn.IFS(J117="经验不限","初级",J117="1-3年","初级",J117="3-5年","中级",J117="5-10年","高级",J117="10年以上","资深")</f>
        <v>初级</v>
      </c>
      <c r="E117" s="12" cm="1">
        <f t="array" ref="E117">_xlfn.IFS(D117="初级",1,D117="中级",2,D117="高级",3,D117="资深",4,D117="管理",5)</f>
        <v>1</v>
      </c>
      <c r="F117" s="13" t="s">
        <v>458</v>
      </c>
      <c r="G117" s="14" t="s">
        <v>247</v>
      </c>
      <c r="H117" s="1" t="s">
        <v>248</v>
      </c>
      <c r="I117" s="1" t="s">
        <v>451</v>
      </c>
      <c r="J117" s="1" t="s">
        <v>12</v>
      </c>
      <c r="K117" s="1" t="s">
        <v>452</v>
      </c>
      <c r="L117" s="12" t="s">
        <v>459</v>
      </c>
      <c r="M117" s="15" t="s">
        <v>460</v>
      </c>
    </row>
    <row r="118" ht="67.5" spans="1:13">
      <c r="A118" s="1">
        <v>114</v>
      </c>
      <c r="B118" s="1" t="s">
        <v>13</v>
      </c>
      <c r="C118" s="1" t="s">
        <v>449</v>
      </c>
      <c r="D118" s="1" t="str" cm="1">
        <f t="array" ref="D118">_xlfn.IFS(J118="经验不限","初级",J118="1-3年","初级",J118="3-5年","中级",J118="5-10年","高级",J118="10年以上","资深")</f>
        <v>初级</v>
      </c>
      <c r="E118" s="12" cm="1">
        <f t="array" ref="E118">_xlfn.IFS(D118="初级",1,D118="中级",2,D118="高级",3,D118="资深",4,D118="管理",5)</f>
        <v>1</v>
      </c>
      <c r="F118" s="13" t="s">
        <v>461</v>
      </c>
      <c r="G118" s="14" t="s">
        <v>90</v>
      </c>
      <c r="H118" s="1" t="s">
        <v>91</v>
      </c>
      <c r="I118" s="1" t="s">
        <v>92</v>
      </c>
      <c r="J118" s="1" t="s">
        <v>12</v>
      </c>
      <c r="K118" s="1" t="s">
        <v>452</v>
      </c>
      <c r="L118" s="12" t="s">
        <v>462</v>
      </c>
      <c r="M118" s="15" t="s">
        <v>463</v>
      </c>
    </row>
    <row r="119" spans="1:13">
      <c r="A119" s="1">
        <v>115</v>
      </c>
      <c r="B119" s="1" t="s">
        <v>17</v>
      </c>
      <c r="C119" s="1" t="s">
        <v>449</v>
      </c>
      <c r="D119" s="1" t="s">
        <v>15</v>
      </c>
      <c r="E119" s="12" cm="1">
        <f t="array" ref="E119">_xlfn.IFS(D119="初级",1,D119="中级",2,D119="高级",3,D119="资深",4,D119="管理",5)</f>
        <v>2</v>
      </c>
      <c r="F119" s="13" t="s">
        <v>464</v>
      </c>
      <c r="G119" s="14" t="s">
        <v>132</v>
      </c>
      <c r="H119" s="1" t="s">
        <v>133</v>
      </c>
      <c r="I119" s="1" t="s">
        <v>465</v>
      </c>
      <c r="J119" s="1" t="s">
        <v>68</v>
      </c>
      <c r="K119" s="1" t="s">
        <v>69</v>
      </c>
      <c r="L119" s="12" t="s">
        <v>466</v>
      </c>
      <c r="M119" s="15" t="s">
        <v>467</v>
      </c>
    </row>
    <row r="120" spans="1:13">
      <c r="A120" s="1">
        <v>116</v>
      </c>
      <c r="B120" s="1" t="s">
        <v>21</v>
      </c>
      <c r="C120" s="1" t="s">
        <v>449</v>
      </c>
      <c r="D120" s="1" t="str" cm="1">
        <f t="array" ref="D120">_xlfn.IFS(J120="经验不限","初级",J120="1-3年","初级",J120="3-5年","中级",J120="5-10年","高级",J120="10年以上","资深")</f>
        <v>高级</v>
      </c>
      <c r="E120" s="12" cm="1">
        <f t="array" ref="E120">_xlfn.IFS(D120="初级",1,D120="中级",2,D120="高级",3,D120="资深",4,D120="管理",5)</f>
        <v>3</v>
      </c>
      <c r="F120" s="13" t="s">
        <v>468</v>
      </c>
      <c r="G120" s="14" t="s">
        <v>90</v>
      </c>
      <c r="H120" s="1" t="s">
        <v>91</v>
      </c>
      <c r="I120" s="1" t="s">
        <v>92</v>
      </c>
      <c r="J120" s="1" t="s">
        <v>24</v>
      </c>
      <c r="K120" s="1" t="s">
        <v>69</v>
      </c>
      <c r="L120" s="12" t="s">
        <v>469</v>
      </c>
      <c r="M120" s="15" t="s">
        <v>470</v>
      </c>
    </row>
    <row r="121" ht="40.5" spans="1:13">
      <c r="A121" s="1">
        <v>117</v>
      </c>
      <c r="B121" s="1" t="s">
        <v>471</v>
      </c>
      <c r="C121" s="1" t="s">
        <v>449</v>
      </c>
      <c r="D121" s="1" t="s">
        <v>23</v>
      </c>
      <c r="E121" s="12" cm="1">
        <f t="array" ref="E121">_xlfn.IFS(D121="初级",1,D121="中级",2,D121="高级",3,D121="资深",4,D121="管理",5)</f>
        <v>4</v>
      </c>
      <c r="F121" s="13" t="s">
        <v>472</v>
      </c>
      <c r="G121" s="14" t="s">
        <v>90</v>
      </c>
      <c r="H121" s="1" t="s">
        <v>91</v>
      </c>
      <c r="I121" s="1" t="s">
        <v>92</v>
      </c>
      <c r="J121" s="1" t="s">
        <v>24</v>
      </c>
      <c r="K121" s="1" t="s">
        <v>69</v>
      </c>
      <c r="L121" s="12" t="s">
        <v>473</v>
      </c>
      <c r="M121" s="15" t="s">
        <v>474</v>
      </c>
    </row>
    <row r="122" spans="1:13">
      <c r="A122" s="1">
        <v>118</v>
      </c>
      <c r="B122" s="1" t="s">
        <v>17</v>
      </c>
      <c r="C122" s="1" t="s">
        <v>449</v>
      </c>
      <c r="D122" s="1" t="str" cm="1">
        <f t="array" ref="D122">_xlfn.IFS(J122="经验不限","初级",J122="1-3年","初级",J122="3-5年","中级",J122="5-10年","高级",J122="10年以上","资深")</f>
        <v>中级</v>
      </c>
      <c r="E122" s="12" cm="1">
        <f t="array" ref="E122">_xlfn.IFS(D122="初级",1,D122="中级",2,D122="高级",3,D122="资深",4,D122="管理",5)</f>
        <v>2</v>
      </c>
      <c r="F122" s="17" t="s">
        <v>475</v>
      </c>
      <c r="G122" s="14" t="s">
        <v>90</v>
      </c>
      <c r="H122" s="1" t="s">
        <v>91</v>
      </c>
      <c r="I122" s="1" t="s">
        <v>92</v>
      </c>
      <c r="J122" s="1" t="s">
        <v>76</v>
      </c>
      <c r="K122" s="1" t="s">
        <v>69</v>
      </c>
      <c r="L122" s="12" t="s">
        <v>135</v>
      </c>
      <c r="M122" s="15" t="s">
        <v>476</v>
      </c>
    </row>
    <row r="123" spans="1:13">
      <c r="A123" s="1">
        <v>119</v>
      </c>
      <c r="B123" s="1" t="s">
        <v>13</v>
      </c>
      <c r="C123" s="1" t="s">
        <v>449</v>
      </c>
      <c r="D123" s="1" t="s">
        <v>15</v>
      </c>
      <c r="E123" s="12" cm="1">
        <f t="array" ref="E123">_xlfn.IFS(D123="初级",1,D123="中级",2,D123="高级",3,D123="资深",4,D123="管理",5)</f>
        <v>2</v>
      </c>
      <c r="F123" s="17" t="s">
        <v>477</v>
      </c>
      <c r="G123" s="14" t="s">
        <v>90</v>
      </c>
      <c r="H123" s="1"/>
      <c r="I123" s="1"/>
      <c r="J123" s="1" t="s">
        <v>12</v>
      </c>
      <c r="K123" s="1" t="s">
        <v>69</v>
      </c>
      <c r="L123" s="12" t="s">
        <v>478</v>
      </c>
      <c r="M123" s="15" t="s">
        <v>479</v>
      </c>
    </row>
    <row r="124" spans="1:13">
      <c r="A124" s="1">
        <v>120</v>
      </c>
      <c r="B124" s="1" t="s">
        <v>21</v>
      </c>
      <c r="C124" s="1" t="s">
        <v>449</v>
      </c>
      <c r="D124" s="1" t="s">
        <v>19</v>
      </c>
      <c r="E124" s="12" cm="1">
        <f t="array" ref="E124">_xlfn.IFS(D124="初级",1,D124="中级",2,D124="高级",3,D124="资深",4,D124="管理",5)</f>
        <v>3</v>
      </c>
      <c r="F124" s="17" t="s">
        <v>480</v>
      </c>
      <c r="G124" s="14" t="s">
        <v>90</v>
      </c>
      <c r="H124" s="1" t="s">
        <v>91</v>
      </c>
      <c r="I124" s="1" t="s">
        <v>92</v>
      </c>
      <c r="J124" s="1" t="s">
        <v>24</v>
      </c>
      <c r="K124" s="1" t="s">
        <v>69</v>
      </c>
      <c r="L124" s="12" t="s">
        <v>481</v>
      </c>
      <c r="M124" s="15" t="s">
        <v>482</v>
      </c>
    </row>
    <row r="125" spans="1:13">
      <c r="A125" s="1">
        <v>121</v>
      </c>
      <c r="B125" s="1" t="s">
        <v>21</v>
      </c>
      <c r="C125" s="1" t="s">
        <v>449</v>
      </c>
      <c r="D125" s="1" t="s">
        <v>19</v>
      </c>
      <c r="E125" s="12" cm="1">
        <f t="array" ref="E125">_xlfn.IFS(D125="初级",1,D125="中级",2,D125="高级",3,D125="资深",4,D125="管理",5)</f>
        <v>3</v>
      </c>
      <c r="F125" s="13" t="s">
        <v>483</v>
      </c>
      <c r="G125" s="14" t="s">
        <v>90</v>
      </c>
      <c r="H125" s="1" t="s">
        <v>91</v>
      </c>
      <c r="I125" s="1" t="s">
        <v>92</v>
      </c>
      <c r="J125" s="1" t="s">
        <v>68</v>
      </c>
      <c r="K125" s="1" t="s">
        <v>69</v>
      </c>
      <c r="L125" s="12" t="s">
        <v>473</v>
      </c>
      <c r="M125" s="15" t="s">
        <v>484</v>
      </c>
    </row>
    <row r="126" spans="1:13">
      <c r="A126" s="1">
        <v>122</v>
      </c>
      <c r="B126" s="1" t="s">
        <v>25</v>
      </c>
      <c r="C126" s="1" t="s">
        <v>449</v>
      </c>
      <c r="D126" s="1" t="s">
        <v>23</v>
      </c>
      <c r="E126" s="12" cm="1">
        <f t="array" ref="E126">_xlfn.IFS(D126="初级",1,D126="中级",2,D126="高级",3,D126="资深",4,D126="管理",5)</f>
        <v>4</v>
      </c>
      <c r="F126" s="13" t="s">
        <v>485</v>
      </c>
      <c r="G126" s="14" t="s">
        <v>96</v>
      </c>
      <c r="H126" s="1" t="s">
        <v>97</v>
      </c>
      <c r="I126" s="1" t="s">
        <v>455</v>
      </c>
      <c r="J126" s="1" t="s">
        <v>24</v>
      </c>
      <c r="K126" s="1" t="s">
        <v>69</v>
      </c>
      <c r="L126" s="12" t="s">
        <v>486</v>
      </c>
      <c r="M126" s="15" t="s">
        <v>487</v>
      </c>
    </row>
    <row r="127" spans="1:13">
      <c r="A127" s="1">
        <v>124</v>
      </c>
      <c r="B127" s="1" t="s">
        <v>21</v>
      </c>
      <c r="C127" s="1" t="s">
        <v>449</v>
      </c>
      <c r="D127" s="1" t="str" cm="1">
        <f t="array" ref="D127">_xlfn.IFS(J127="经验不限","初级",J127="1-3年","初级",J127="3-5年","中级",J127="5-10年","高级",J127="10年以上","资深")</f>
        <v>高级</v>
      </c>
      <c r="E127" s="12" cm="1">
        <f t="array" ref="E127">_xlfn.IFS(D127="初级",1,D127="中级",2,D127="高级",3,D127="资深",4,D127="管理",5)</f>
        <v>3</v>
      </c>
      <c r="F127" s="13" t="s">
        <v>450</v>
      </c>
      <c r="G127" s="14" t="s">
        <v>90</v>
      </c>
      <c r="H127" s="1" t="s">
        <v>91</v>
      </c>
      <c r="I127" s="1" t="s">
        <v>488</v>
      </c>
      <c r="J127" s="1" t="s">
        <v>24</v>
      </c>
      <c r="K127" s="1" t="s">
        <v>69</v>
      </c>
      <c r="L127" s="12" t="s">
        <v>489</v>
      </c>
      <c r="M127" s="15" t="s">
        <v>490</v>
      </c>
    </row>
    <row r="128" spans="1:13">
      <c r="A128" s="1">
        <v>125</v>
      </c>
      <c r="B128" s="1" t="s">
        <v>17</v>
      </c>
      <c r="C128" s="1" t="s">
        <v>449</v>
      </c>
      <c r="D128" s="1" t="str" cm="1">
        <f t="array" ref="D128">_xlfn.IFS(J128="经验不限","初级",J128="1-3年","初级",J128="3-5年","中级",J128="5-10年","高级",J128="10年以上","资深")</f>
        <v>中级</v>
      </c>
      <c r="E128" s="12" cm="1">
        <f t="array" ref="E128">_xlfn.IFS(D128="初级",1,D128="中级",2,D128="高级",3,D128="资深",4,D128="管理",5)</f>
        <v>2</v>
      </c>
      <c r="F128" s="13"/>
      <c r="G128" s="14" t="s">
        <v>90</v>
      </c>
      <c r="H128" s="1" t="s">
        <v>91</v>
      </c>
      <c r="I128" s="1" t="s">
        <v>488</v>
      </c>
      <c r="J128" s="1" t="s">
        <v>76</v>
      </c>
      <c r="K128" s="1" t="s">
        <v>69</v>
      </c>
      <c r="L128" s="12" t="s">
        <v>466</v>
      </c>
      <c r="M128" s="15" t="s">
        <v>491</v>
      </c>
    </row>
    <row r="129" spans="1:13">
      <c r="A129" s="1">
        <v>126</v>
      </c>
      <c r="B129" s="1" t="s">
        <v>21</v>
      </c>
      <c r="C129" s="1" t="s">
        <v>449</v>
      </c>
      <c r="D129" s="1" t="str" cm="1">
        <f t="array" ref="D129">_xlfn.IFS(J129="经验不限","初级",J129="1-3年","初级",J129="3-5年","中级",J129="5-10年","高级",J129="10年以上","资深")</f>
        <v>高级</v>
      </c>
      <c r="E129" s="12" cm="1">
        <f t="array" ref="E129">_xlfn.IFS(D129="初级",1,D129="中级",2,D129="高级",3,D129="资深",4,D129="管理",5)</f>
        <v>3</v>
      </c>
      <c r="F129" s="17" t="s">
        <v>492</v>
      </c>
      <c r="G129" s="14" t="s">
        <v>96</v>
      </c>
      <c r="H129" s="1" t="s">
        <v>97</v>
      </c>
      <c r="I129" s="1" t="s">
        <v>455</v>
      </c>
      <c r="J129" s="1" t="s">
        <v>24</v>
      </c>
      <c r="K129" s="1" t="s">
        <v>69</v>
      </c>
      <c r="L129" s="12" t="s">
        <v>493</v>
      </c>
      <c r="M129" s="15" t="s">
        <v>494</v>
      </c>
    </row>
    <row r="130" spans="1:13">
      <c r="A130" s="1">
        <v>127</v>
      </c>
      <c r="B130" s="1" t="s">
        <v>21</v>
      </c>
      <c r="C130" s="1" t="s">
        <v>449</v>
      </c>
      <c r="D130" s="1" t="s">
        <v>19</v>
      </c>
      <c r="E130" s="12" cm="1">
        <f t="array" ref="E130">_xlfn.IFS(D130="初级",1,D130="中级",2,D130="高级",3,D130="资深",4,D130="管理",5)</f>
        <v>3</v>
      </c>
      <c r="F130" s="17" t="s">
        <v>495</v>
      </c>
      <c r="G130" s="14" t="s">
        <v>96</v>
      </c>
      <c r="H130" s="1" t="s">
        <v>97</v>
      </c>
      <c r="I130" s="1" t="s">
        <v>98</v>
      </c>
      <c r="J130" s="1" t="s">
        <v>76</v>
      </c>
      <c r="K130" s="1" t="s">
        <v>69</v>
      </c>
      <c r="L130" s="12" t="s">
        <v>496</v>
      </c>
      <c r="M130" s="15" t="s">
        <v>497</v>
      </c>
    </row>
    <row r="131" spans="1:13">
      <c r="A131" s="1">
        <v>128</v>
      </c>
      <c r="B131" s="1" t="s">
        <v>17</v>
      </c>
      <c r="C131" s="1" t="s">
        <v>449</v>
      </c>
      <c r="D131" s="1" t="str" cm="1">
        <f t="array" ref="D131">_xlfn.IFS(J131="经验不限","初级",J131="1-3年","初级",J131="3-5年","中级",J131="5-10年","高级",J131="10年以上","资深")</f>
        <v>中级</v>
      </c>
      <c r="E131" s="12" cm="1">
        <f t="array" ref="E131">_xlfn.IFS(D131="初级",1,D131="中级",2,D131="高级",3,D131="资深",4,D131="管理",5)</f>
        <v>2</v>
      </c>
      <c r="F131" s="17" t="s">
        <v>498</v>
      </c>
      <c r="G131" s="14" t="s">
        <v>132</v>
      </c>
      <c r="H131" s="1" t="s">
        <v>443</v>
      </c>
      <c r="I131" s="1" t="s">
        <v>444</v>
      </c>
      <c r="J131" s="1" t="s">
        <v>76</v>
      </c>
      <c r="K131" s="1" t="s">
        <v>69</v>
      </c>
      <c r="L131" s="12" t="s">
        <v>473</v>
      </c>
      <c r="M131" s="15" t="s">
        <v>499</v>
      </c>
    </row>
    <row r="132" spans="1:13">
      <c r="A132" s="1">
        <v>129</v>
      </c>
      <c r="B132" s="1" t="s">
        <v>17</v>
      </c>
      <c r="C132" s="1" t="s">
        <v>449</v>
      </c>
      <c r="D132" s="1" t="str" cm="1">
        <f t="array" ref="D132">_xlfn.IFS(J132="经验不限","初级",J132="1-3年","初级",J132="3-5年","中级",J132="5-10年","高级",J132="10年以上","资深")</f>
        <v>中级</v>
      </c>
      <c r="E132" s="12" cm="1">
        <f t="array" ref="E132">_xlfn.IFS(D132="初级",1,D132="中级",2,D132="高级",3,D132="资深",4,D132="管理",5)</f>
        <v>2</v>
      </c>
      <c r="F132" s="17" t="s">
        <v>500</v>
      </c>
      <c r="G132" s="14" t="s">
        <v>124</v>
      </c>
      <c r="H132" s="1" t="s">
        <v>201</v>
      </c>
      <c r="I132" s="1" t="s">
        <v>501</v>
      </c>
      <c r="J132" s="1" t="s">
        <v>76</v>
      </c>
      <c r="K132" s="1" t="s">
        <v>69</v>
      </c>
      <c r="L132" s="12" t="s">
        <v>502</v>
      </c>
      <c r="M132" s="15" t="s">
        <v>503</v>
      </c>
    </row>
    <row r="133" spans="1:13">
      <c r="A133" s="1">
        <v>130</v>
      </c>
      <c r="B133" s="1" t="s">
        <v>21</v>
      </c>
      <c r="C133" s="1" t="s">
        <v>449</v>
      </c>
      <c r="D133" s="1" t="s">
        <v>19</v>
      </c>
      <c r="E133" s="12" cm="1">
        <f t="array" ref="E133">_xlfn.IFS(D133="初级",1,D133="中级",2,D133="高级",3,D133="资深",4,D133="管理",5)</f>
        <v>3</v>
      </c>
      <c r="F133" s="13" t="s">
        <v>504</v>
      </c>
      <c r="G133" s="14" t="s">
        <v>96</v>
      </c>
      <c r="H133" s="1" t="s">
        <v>97</v>
      </c>
      <c r="I133" s="1" t="s">
        <v>455</v>
      </c>
      <c r="J133" s="1" t="s">
        <v>76</v>
      </c>
      <c r="K133" s="1" t="s">
        <v>69</v>
      </c>
      <c r="L133" s="12" t="s">
        <v>486</v>
      </c>
      <c r="M133" s="15" t="s">
        <v>505</v>
      </c>
    </row>
    <row r="134" ht="40.5" spans="1:13">
      <c r="A134" s="1">
        <v>131</v>
      </c>
      <c r="B134" s="1" t="s">
        <v>17</v>
      </c>
      <c r="C134" s="1" t="s">
        <v>449</v>
      </c>
      <c r="D134" s="1" t="str" cm="1">
        <f t="array" ref="D134">_xlfn.IFS(J134="经验不限","初级",J134="1-3年","初级",J134="3-5年","中级",J134="5-10年","高级",J134="10年以上","资深")</f>
        <v>中级</v>
      </c>
      <c r="E134" s="12" cm="1">
        <f t="array" ref="E134">_xlfn.IFS(D134="初级",1,D134="中级",2,D134="高级",3,D134="资深",4,D134="管理",5)</f>
        <v>2</v>
      </c>
      <c r="F134" s="13" t="s">
        <v>506</v>
      </c>
      <c r="G134" s="14" t="s">
        <v>183</v>
      </c>
      <c r="H134" s="1" t="s">
        <v>184</v>
      </c>
      <c r="I134" s="1" t="s">
        <v>507</v>
      </c>
      <c r="J134" s="1" t="s">
        <v>76</v>
      </c>
      <c r="K134" s="1" t="s">
        <v>69</v>
      </c>
      <c r="L134" s="12" t="s">
        <v>508</v>
      </c>
      <c r="M134" s="15" t="s">
        <v>509</v>
      </c>
    </row>
    <row r="135" spans="1:13">
      <c r="A135" s="1">
        <v>132</v>
      </c>
      <c r="B135" s="1" t="s">
        <v>21</v>
      </c>
      <c r="C135" s="1" t="s">
        <v>510</v>
      </c>
      <c r="D135" s="1" t="s">
        <v>19</v>
      </c>
      <c r="E135" s="12" cm="1">
        <f t="array" ref="E135">_xlfn.IFS(D135="初级",1,D135="中级",2,D135="高级",3,D135="资深",4,D135="管理",5)</f>
        <v>3</v>
      </c>
      <c r="F135" s="17" t="s">
        <v>511</v>
      </c>
      <c r="G135" s="14" t="s">
        <v>96</v>
      </c>
      <c r="H135" s="1" t="s">
        <v>97</v>
      </c>
      <c r="I135" s="1" t="s">
        <v>98</v>
      </c>
      <c r="J135" s="1" t="s">
        <v>76</v>
      </c>
      <c r="K135" s="1" t="s">
        <v>512</v>
      </c>
      <c r="L135" s="12" t="s">
        <v>513</v>
      </c>
      <c r="M135" s="15"/>
    </row>
    <row r="136" spans="1:13">
      <c r="A136" s="1">
        <v>133</v>
      </c>
      <c r="B136" s="1" t="s">
        <v>21</v>
      </c>
      <c r="C136" s="1" t="s">
        <v>449</v>
      </c>
      <c r="D136" s="1" t="s">
        <v>19</v>
      </c>
      <c r="E136" s="12" cm="1">
        <f t="array" ref="E136">_xlfn.IFS(D136="初级",1,D136="中级",2,D136="高级",3,D136="资深",4,D136="管理",5)</f>
        <v>3</v>
      </c>
      <c r="F136" s="13" t="s">
        <v>485</v>
      </c>
      <c r="G136" s="14" t="s">
        <v>96</v>
      </c>
      <c r="H136" s="1" t="s">
        <v>97</v>
      </c>
      <c r="I136" s="1" t="s">
        <v>455</v>
      </c>
      <c r="J136" s="1" t="s">
        <v>76</v>
      </c>
      <c r="K136" s="1" t="s">
        <v>69</v>
      </c>
      <c r="L136" s="12" t="s">
        <v>486</v>
      </c>
      <c r="M136" s="15" t="s">
        <v>514</v>
      </c>
    </row>
    <row r="137" spans="1:13">
      <c r="A137" s="1">
        <v>134</v>
      </c>
      <c r="B137" s="1" t="s">
        <v>21</v>
      </c>
      <c r="C137" s="1" t="s">
        <v>449</v>
      </c>
      <c r="D137" s="1" t="str" cm="1">
        <f t="array" ref="D137">_xlfn.IFS(J137="经验不限","初级",J137="1-3年","初级",J137="3-5年","中级",J137="5-10年","高级",J137="10年以上","资深")</f>
        <v>高级</v>
      </c>
      <c r="E137" s="12" cm="1">
        <f t="array" ref="E137">_xlfn.IFS(D137="初级",1,D137="中级",2,D137="高级",3,D137="资深",4,D137="管理",5)</f>
        <v>3</v>
      </c>
      <c r="F137" s="17" t="s">
        <v>515</v>
      </c>
      <c r="G137" s="14" t="s">
        <v>73</v>
      </c>
      <c r="H137" s="1" t="s">
        <v>238</v>
      </c>
      <c r="I137" s="1" t="s">
        <v>516</v>
      </c>
      <c r="J137" s="1" t="s">
        <v>24</v>
      </c>
      <c r="K137" s="1" t="s">
        <v>69</v>
      </c>
      <c r="L137" s="12" t="s">
        <v>517</v>
      </c>
      <c r="M137" s="15" t="s">
        <v>518</v>
      </c>
    </row>
    <row r="138" spans="1:13">
      <c r="A138" s="1">
        <v>135</v>
      </c>
      <c r="B138" s="1" t="s">
        <v>25</v>
      </c>
      <c r="C138" s="1" t="s">
        <v>449</v>
      </c>
      <c r="D138" s="1" t="s">
        <v>23</v>
      </c>
      <c r="E138" s="12" cm="1">
        <f t="array" ref="E138">_xlfn.IFS(D138="初级",1,D138="中级",2,D138="高级",3,D138="资深",4,D138="管理",5)</f>
        <v>4</v>
      </c>
      <c r="F138" s="13" t="s">
        <v>519</v>
      </c>
      <c r="G138" s="14" t="s">
        <v>96</v>
      </c>
      <c r="H138" s="1" t="s">
        <v>97</v>
      </c>
      <c r="I138" s="1" t="s">
        <v>455</v>
      </c>
      <c r="J138" s="1" t="s">
        <v>24</v>
      </c>
      <c r="K138" s="1" t="s">
        <v>69</v>
      </c>
      <c r="L138" s="12" t="s">
        <v>520</v>
      </c>
      <c r="M138" s="15" t="s">
        <v>521</v>
      </c>
    </row>
    <row r="139" spans="1:13">
      <c r="A139" s="1">
        <v>136</v>
      </c>
      <c r="B139" s="1" t="s">
        <v>21</v>
      </c>
      <c r="C139" s="1" t="s">
        <v>510</v>
      </c>
      <c r="D139" s="1" t="s">
        <v>19</v>
      </c>
      <c r="E139" s="12" cm="1">
        <f t="array" ref="E139">_xlfn.IFS(D139="初级",1,D139="中级",2,D139="高级",3,D139="资深",4,D139="管理",5)</f>
        <v>3</v>
      </c>
      <c r="F139" s="13" t="s">
        <v>522</v>
      </c>
      <c r="G139" s="14" t="s">
        <v>90</v>
      </c>
      <c r="H139" s="1" t="s">
        <v>91</v>
      </c>
      <c r="I139" s="1" t="s">
        <v>92</v>
      </c>
      <c r="J139" s="1" t="s">
        <v>76</v>
      </c>
      <c r="K139" s="1" t="s">
        <v>69</v>
      </c>
      <c r="L139" s="12" t="s">
        <v>473</v>
      </c>
      <c r="M139" s="15"/>
    </row>
    <row r="140" ht="54" spans="1:13">
      <c r="A140" s="1">
        <v>137</v>
      </c>
      <c r="B140" s="1" t="s">
        <v>25</v>
      </c>
      <c r="C140" s="1" t="s">
        <v>449</v>
      </c>
      <c r="D140" s="1" t="s">
        <v>23</v>
      </c>
      <c r="E140" s="12" cm="1">
        <f t="array" ref="E140">_xlfn.IFS(D140="初级",1,D140="中级",2,D140="高级",3,D140="资深",4,D140="管理",5)</f>
        <v>4</v>
      </c>
      <c r="F140" s="13" t="s">
        <v>523</v>
      </c>
      <c r="G140" s="14" t="s">
        <v>124</v>
      </c>
      <c r="H140" s="1" t="s">
        <v>201</v>
      </c>
      <c r="I140" s="1" t="s">
        <v>202</v>
      </c>
      <c r="J140" s="1" t="s">
        <v>24</v>
      </c>
      <c r="K140" s="1" t="s">
        <v>69</v>
      </c>
      <c r="L140" s="12" t="s">
        <v>473</v>
      </c>
      <c r="M140" s="15" t="s">
        <v>524</v>
      </c>
    </row>
    <row r="141" spans="1:13">
      <c r="A141" s="1">
        <v>138</v>
      </c>
      <c r="B141" s="1" t="s">
        <v>13</v>
      </c>
      <c r="C141" s="1" t="s">
        <v>449</v>
      </c>
      <c r="D141" s="1" t="str" cm="1">
        <f t="array" ref="D141">_xlfn.IFS(J141="经验不限","初级",J141="1-3年","初级",J141="3-5年","中级",J141="5-10年","高级",J141="10年以上","资深")</f>
        <v>初级</v>
      </c>
      <c r="E141" s="12" cm="1">
        <f t="array" ref="E141">_xlfn.IFS(D141="初级",1,D141="中级",2,D141="高级",3,D141="资深",4,D141="管理",5)</f>
        <v>1</v>
      </c>
      <c r="F141" s="13"/>
      <c r="G141" s="14" t="s">
        <v>247</v>
      </c>
      <c r="H141" s="1" t="s">
        <v>248</v>
      </c>
      <c r="I141" s="1" t="s">
        <v>451</v>
      </c>
      <c r="J141" s="1" t="s">
        <v>12</v>
      </c>
      <c r="K141" s="1" t="s">
        <v>452</v>
      </c>
      <c r="L141" s="12" t="s">
        <v>459</v>
      </c>
      <c r="M141" s="15" t="s">
        <v>525</v>
      </c>
    </row>
    <row r="142" spans="1:13">
      <c r="A142" s="1">
        <v>139</v>
      </c>
      <c r="B142" s="1" t="s">
        <v>13</v>
      </c>
      <c r="C142" s="1" t="s">
        <v>449</v>
      </c>
      <c r="D142" s="1" t="str" cm="1">
        <f t="array" ref="D142">_xlfn.IFS(J142="经验不限","初级",J142="1-3年","初级",J142="3-5年","中级",J142="5-10年","高级",J142="10年以上","资深")</f>
        <v>初级</v>
      </c>
      <c r="E142" s="12" cm="1">
        <f t="array" ref="E142">_xlfn.IFS(D142="初级",1,D142="中级",2,D142="高级",3,D142="资深",4,D142="管理",5)</f>
        <v>1</v>
      </c>
      <c r="F142" s="17" t="s">
        <v>458</v>
      </c>
      <c r="G142" s="14" t="s">
        <v>247</v>
      </c>
      <c r="H142" s="1" t="s">
        <v>248</v>
      </c>
      <c r="I142" s="1" t="s">
        <v>451</v>
      </c>
      <c r="J142" s="1" t="s">
        <v>12</v>
      </c>
      <c r="K142" s="1" t="s">
        <v>452</v>
      </c>
      <c r="L142" s="12" t="s">
        <v>459</v>
      </c>
      <c r="M142" s="15" t="s">
        <v>526</v>
      </c>
    </row>
    <row r="143" spans="1:13">
      <c r="A143" s="1">
        <v>140</v>
      </c>
      <c r="B143" s="1" t="s">
        <v>17</v>
      </c>
      <c r="C143" s="1" t="s">
        <v>449</v>
      </c>
      <c r="D143" s="1" t="s">
        <v>15</v>
      </c>
      <c r="E143" s="12" cm="1">
        <f t="array" ref="E143">_xlfn.IFS(D143="初级",1,D143="中级",2,D143="高级",3,D143="资深",4,D143="管理",5)</f>
        <v>2</v>
      </c>
      <c r="F143" s="17" t="s">
        <v>527</v>
      </c>
      <c r="G143" s="14" t="s">
        <v>90</v>
      </c>
      <c r="H143" s="1" t="s">
        <v>91</v>
      </c>
      <c r="I143" s="1" t="s">
        <v>92</v>
      </c>
      <c r="J143" s="1" t="s">
        <v>68</v>
      </c>
      <c r="K143" s="1" t="s">
        <v>69</v>
      </c>
      <c r="L143" s="12" t="s">
        <v>466</v>
      </c>
      <c r="M143" s="15" t="s">
        <v>528</v>
      </c>
    </row>
    <row r="144" spans="1:13">
      <c r="A144" s="1">
        <v>141</v>
      </c>
      <c r="B144" s="1" t="s">
        <v>21</v>
      </c>
      <c r="C144" s="1" t="s">
        <v>449</v>
      </c>
      <c r="D144" s="1" t="s">
        <v>19</v>
      </c>
      <c r="E144" s="12" cm="1">
        <f t="array" ref="E144">_xlfn.IFS(D144="初级",1,D144="中级",2,D144="高级",3,D144="资深",4,D144="管理",5)</f>
        <v>3</v>
      </c>
      <c r="F144" s="13" t="s">
        <v>450</v>
      </c>
      <c r="G144" s="14" t="s">
        <v>260</v>
      </c>
      <c r="H144" s="1" t="s">
        <v>261</v>
      </c>
      <c r="I144" s="1" t="s">
        <v>529</v>
      </c>
      <c r="J144" s="1" t="s">
        <v>76</v>
      </c>
      <c r="K144" s="1" t="s">
        <v>69</v>
      </c>
      <c r="L144" s="12" t="s">
        <v>530</v>
      </c>
      <c r="M144" s="15" t="s">
        <v>531</v>
      </c>
    </row>
    <row r="145" spans="1:13">
      <c r="A145" s="1">
        <v>142</v>
      </c>
      <c r="B145" s="1" t="s">
        <v>17</v>
      </c>
      <c r="C145" s="1" t="s">
        <v>449</v>
      </c>
      <c r="D145" s="1" t="s">
        <v>15</v>
      </c>
      <c r="E145" s="12" cm="1">
        <f t="array" ref="E145">_xlfn.IFS(D145="初级",1,D145="中级",2,D145="高级",3,D145="资深",4,D145="管理",5)</f>
        <v>2</v>
      </c>
      <c r="F145" s="13" t="s">
        <v>532</v>
      </c>
      <c r="G145" s="14" t="s">
        <v>90</v>
      </c>
      <c r="H145" s="1" t="s">
        <v>91</v>
      </c>
      <c r="I145" s="1" t="s">
        <v>488</v>
      </c>
      <c r="J145" s="1" t="s">
        <v>68</v>
      </c>
      <c r="K145" s="1" t="s">
        <v>69</v>
      </c>
      <c r="L145" s="12" t="s">
        <v>533</v>
      </c>
      <c r="M145" s="15" t="s">
        <v>534</v>
      </c>
    </row>
    <row r="146" spans="1:13">
      <c r="A146" s="1">
        <v>143</v>
      </c>
      <c r="B146" s="1" t="s">
        <v>25</v>
      </c>
      <c r="C146" s="1" t="s">
        <v>449</v>
      </c>
      <c r="D146" s="1" t="s">
        <v>23</v>
      </c>
      <c r="E146" s="12" cm="1">
        <f t="array" ref="E146">_xlfn.IFS(D146="初级",1,D146="中级",2,D146="高级",3,D146="资深",4,D146="管理",5)</f>
        <v>4</v>
      </c>
      <c r="F146" s="13" t="s">
        <v>535</v>
      </c>
      <c r="G146" s="14" t="s">
        <v>96</v>
      </c>
      <c r="H146" s="1" t="s">
        <v>97</v>
      </c>
      <c r="I146" s="1" t="s">
        <v>455</v>
      </c>
      <c r="J146" s="1" t="s">
        <v>24</v>
      </c>
      <c r="K146" s="1" t="s">
        <v>69</v>
      </c>
      <c r="L146" s="12" t="s">
        <v>473</v>
      </c>
      <c r="M146" s="15" t="s">
        <v>536</v>
      </c>
    </row>
    <row r="147" spans="1:13">
      <c r="A147" s="1">
        <v>144</v>
      </c>
      <c r="B147" s="1" t="s">
        <v>25</v>
      </c>
      <c r="C147" s="1" t="s">
        <v>449</v>
      </c>
      <c r="D147" s="1" t="s">
        <v>23</v>
      </c>
      <c r="E147" s="12" cm="1">
        <f t="array" ref="E147">_xlfn.IFS(D147="初级",1,D147="中级",2,D147="高级",3,D147="资深",4,D147="管理",5)</f>
        <v>4</v>
      </c>
      <c r="F147" s="17" t="s">
        <v>537</v>
      </c>
      <c r="G147" s="14" t="s">
        <v>90</v>
      </c>
      <c r="H147" s="1" t="s">
        <v>91</v>
      </c>
      <c r="I147" s="1" t="s">
        <v>92</v>
      </c>
      <c r="J147" s="1" t="s">
        <v>24</v>
      </c>
      <c r="K147" s="1" t="s">
        <v>69</v>
      </c>
      <c r="L147" s="12" t="s">
        <v>538</v>
      </c>
      <c r="M147" s="15" t="s">
        <v>539</v>
      </c>
    </row>
    <row r="148" spans="1:13">
      <c r="A148" s="1">
        <v>145</v>
      </c>
      <c r="B148" s="1" t="s">
        <v>21</v>
      </c>
      <c r="C148" s="1" t="s">
        <v>449</v>
      </c>
      <c r="D148" s="1" t="s">
        <v>19</v>
      </c>
      <c r="E148" s="12" cm="1">
        <f t="array" ref="E148">_xlfn.IFS(D148="初级",1,D148="中级",2,D148="高级",3,D148="资深",4,D148="管理",5)</f>
        <v>3</v>
      </c>
      <c r="F148" s="13" t="s">
        <v>540</v>
      </c>
      <c r="G148" s="14" t="s">
        <v>96</v>
      </c>
      <c r="H148" s="1" t="s">
        <v>97</v>
      </c>
      <c r="I148" s="1" t="s">
        <v>98</v>
      </c>
      <c r="J148" s="1" t="s">
        <v>76</v>
      </c>
      <c r="K148" s="1" t="s">
        <v>69</v>
      </c>
      <c r="L148" s="12" t="s">
        <v>473</v>
      </c>
      <c r="M148" s="15" t="s">
        <v>541</v>
      </c>
    </row>
    <row r="149" spans="1:13">
      <c r="A149" s="1">
        <v>146</v>
      </c>
      <c r="B149" s="1" t="s">
        <v>471</v>
      </c>
      <c r="C149" s="1" t="s">
        <v>449</v>
      </c>
      <c r="D149" s="1" t="s">
        <v>23</v>
      </c>
      <c r="E149" s="12" cm="1">
        <f t="array" ref="E149">_xlfn.IFS(D149="初级",1,D149="中级",2,D149="高级",3,D149="资深",4,D149="管理",5)</f>
        <v>4</v>
      </c>
      <c r="F149" s="13" t="s">
        <v>542</v>
      </c>
      <c r="G149" s="14" t="s">
        <v>96</v>
      </c>
      <c r="H149" s="1" t="s">
        <v>97</v>
      </c>
      <c r="I149" s="1" t="s">
        <v>98</v>
      </c>
      <c r="J149" s="1" t="s">
        <v>24</v>
      </c>
      <c r="K149" s="1" t="s">
        <v>69</v>
      </c>
      <c r="L149" s="12" t="s">
        <v>473</v>
      </c>
      <c r="M149" s="15" t="s">
        <v>543</v>
      </c>
    </row>
    <row r="150" spans="1:13">
      <c r="A150" s="1">
        <v>148</v>
      </c>
      <c r="B150" s="1" t="s">
        <v>21</v>
      </c>
      <c r="C150" s="1" t="s">
        <v>510</v>
      </c>
      <c r="D150" s="1" t="s">
        <v>19</v>
      </c>
      <c r="E150" s="12" cm="1">
        <f t="array" ref="E150">_xlfn.IFS(D150="初级",1,D150="中级",2,D150="高级",3,D150="资深",4,D150="管理",5)</f>
        <v>3</v>
      </c>
      <c r="F150" s="13" t="s">
        <v>522</v>
      </c>
      <c r="G150" s="14" t="s">
        <v>90</v>
      </c>
      <c r="H150" s="1" t="s">
        <v>91</v>
      </c>
      <c r="I150" s="1" t="s">
        <v>92</v>
      </c>
      <c r="J150" s="1" t="s">
        <v>76</v>
      </c>
      <c r="K150" s="1" t="s">
        <v>69</v>
      </c>
      <c r="L150" s="12" t="s">
        <v>473</v>
      </c>
      <c r="M150" s="15"/>
    </row>
    <row r="151" spans="1:13">
      <c r="A151" s="1">
        <v>149</v>
      </c>
      <c r="B151" s="1" t="s">
        <v>13</v>
      </c>
      <c r="C151" s="1" t="s">
        <v>449</v>
      </c>
      <c r="D151" s="1" t="str" cm="1">
        <f t="array" ref="D151">_xlfn.IFS(J151="经验不限","初级",J151="1-3年","初级",J151="3-5年","中级",J151="5-10年","高级",J151="10年以上","资深")</f>
        <v>初级</v>
      </c>
      <c r="E151" s="12" cm="1">
        <f t="array" ref="E151">_xlfn.IFS(D151="初级",1,D151="中级",2,D151="高级",3,D151="资深",4,D151="管理",5)</f>
        <v>1</v>
      </c>
      <c r="F151" s="13" t="s">
        <v>544</v>
      </c>
      <c r="G151" s="14" t="s">
        <v>247</v>
      </c>
      <c r="H151" s="1" t="s">
        <v>248</v>
      </c>
      <c r="I151" s="1" t="s">
        <v>451</v>
      </c>
      <c r="J151" s="1" t="s">
        <v>12</v>
      </c>
      <c r="K151" s="1" t="s">
        <v>452</v>
      </c>
      <c r="L151" s="12" t="s">
        <v>453</v>
      </c>
      <c r="M151" s="15" t="s">
        <v>545</v>
      </c>
    </row>
    <row r="152" spans="1:13">
      <c r="A152" s="1">
        <v>150</v>
      </c>
      <c r="B152" s="1" t="s">
        <v>13</v>
      </c>
      <c r="C152" s="1" t="s">
        <v>449</v>
      </c>
      <c r="D152" s="1" t="str" cm="1">
        <f t="array" ref="D152">_xlfn.IFS(J152="经验不限","初级",J152="1-3年","初级",J152="3-5年","中级",J152="5-10年","高级",J152="10年以上","资深")</f>
        <v>初级</v>
      </c>
      <c r="E152" s="12" cm="1">
        <f t="array" ref="E152">_xlfn.IFS(D152="初级",1,D152="中级",2,D152="高级",3,D152="资深",4,D152="管理",5)</f>
        <v>1</v>
      </c>
      <c r="F152" s="17" t="s">
        <v>546</v>
      </c>
      <c r="G152" s="14" t="s">
        <v>247</v>
      </c>
      <c r="H152" s="1" t="s">
        <v>248</v>
      </c>
      <c r="I152" s="1" t="s">
        <v>451</v>
      </c>
      <c r="J152" s="1" t="s">
        <v>12</v>
      </c>
      <c r="K152" s="1" t="s">
        <v>452</v>
      </c>
      <c r="L152" s="12" t="s">
        <v>459</v>
      </c>
      <c r="M152" s="15" t="s">
        <v>547</v>
      </c>
    </row>
    <row r="153" spans="1:13">
      <c r="A153" s="1">
        <v>151</v>
      </c>
      <c r="B153" s="1" t="s">
        <v>21</v>
      </c>
      <c r="C153" s="1" t="s">
        <v>449</v>
      </c>
      <c r="D153" s="1" t="s">
        <v>19</v>
      </c>
      <c r="E153" s="12" cm="1">
        <f t="array" ref="E153">_xlfn.IFS(D153="初级",1,D153="中级",2,D153="高级",3,D153="资深",4,D153="管理",5)</f>
        <v>3</v>
      </c>
      <c r="F153" s="13" t="s">
        <v>450</v>
      </c>
      <c r="G153" s="14" t="s">
        <v>96</v>
      </c>
      <c r="H153" s="1"/>
      <c r="I153" s="1"/>
      <c r="J153" s="1" t="s">
        <v>76</v>
      </c>
      <c r="K153" s="1" t="s">
        <v>69</v>
      </c>
      <c r="L153" s="12" t="s">
        <v>530</v>
      </c>
      <c r="M153" s="15" t="s">
        <v>548</v>
      </c>
    </row>
    <row r="154" spans="1:13">
      <c r="A154" s="1">
        <v>152</v>
      </c>
      <c r="B154" s="1" t="s">
        <v>17</v>
      </c>
      <c r="C154" s="1" t="s">
        <v>449</v>
      </c>
      <c r="D154" s="1" t="str" cm="1">
        <f t="array" ref="D154">_xlfn.IFS(J154="经验不限","初级",J154="1-3年","初级",J154="3-5年","中级",J154="5-10年","高级",J154="10年以上","资深")</f>
        <v>中级</v>
      </c>
      <c r="E154" s="12" cm="1">
        <f t="array" ref="E154">_xlfn.IFS(D154="初级",1,D154="中级",2,D154="高级",3,D154="资深",4,D154="管理",5)</f>
        <v>2</v>
      </c>
      <c r="F154" s="13" t="s">
        <v>450</v>
      </c>
      <c r="G154" s="14" t="s">
        <v>96</v>
      </c>
      <c r="H154" s="1" t="s">
        <v>97</v>
      </c>
      <c r="I154" s="1" t="s">
        <v>455</v>
      </c>
      <c r="J154" s="1" t="s">
        <v>76</v>
      </c>
      <c r="K154" s="1" t="s">
        <v>69</v>
      </c>
      <c r="L154" s="12" t="s">
        <v>508</v>
      </c>
      <c r="M154" s="15" t="s">
        <v>549</v>
      </c>
    </row>
    <row r="155" spans="1:13">
      <c r="A155" s="1">
        <v>153</v>
      </c>
      <c r="B155" s="1" t="s">
        <v>471</v>
      </c>
      <c r="C155" s="1" t="s">
        <v>449</v>
      </c>
      <c r="D155" s="1" t="s">
        <v>23</v>
      </c>
      <c r="E155" s="12" cm="1">
        <f t="array" ref="E155">_xlfn.IFS(D155="初级",1,D155="中级",2,D155="高级",3,D155="资深",4,D155="管理",5)</f>
        <v>4</v>
      </c>
      <c r="F155" s="17" t="s">
        <v>550</v>
      </c>
      <c r="G155" s="14" t="s">
        <v>124</v>
      </c>
      <c r="H155" s="1" t="s">
        <v>201</v>
      </c>
      <c r="I155" s="1" t="s">
        <v>501</v>
      </c>
      <c r="J155" s="1" t="s">
        <v>24</v>
      </c>
      <c r="K155" s="1" t="s">
        <v>69</v>
      </c>
      <c r="L155" s="12" t="s">
        <v>473</v>
      </c>
      <c r="M155" s="15" t="s">
        <v>551</v>
      </c>
    </row>
    <row r="156" spans="1:13">
      <c r="A156" s="1">
        <v>154</v>
      </c>
      <c r="B156" s="1" t="s">
        <v>17</v>
      </c>
      <c r="C156" s="1" t="s">
        <v>449</v>
      </c>
      <c r="D156" s="1" t="str" cm="1">
        <f t="array" ref="D156">_xlfn.IFS(J156="经验不限","初级",J156="1-3年","初级",J156="3-5年","中级",J156="5-10年","高级",J156="10年以上","资深")</f>
        <v>中级</v>
      </c>
      <c r="E156" s="12" cm="1">
        <f t="array" ref="E156">_xlfn.IFS(D156="初级",1,D156="中级",2,D156="高级",3,D156="资深",4,D156="管理",5)</f>
        <v>2</v>
      </c>
      <c r="F156" s="13" t="s">
        <v>552</v>
      </c>
      <c r="G156" s="14" t="s">
        <v>132</v>
      </c>
      <c r="H156" s="1" t="s">
        <v>553</v>
      </c>
      <c r="I156" s="1" t="s">
        <v>554</v>
      </c>
      <c r="J156" s="1" t="s">
        <v>76</v>
      </c>
      <c r="K156" s="1" t="s">
        <v>69</v>
      </c>
      <c r="L156" s="12" t="s">
        <v>466</v>
      </c>
      <c r="M156" s="15" t="s">
        <v>555</v>
      </c>
    </row>
    <row r="157" spans="1:13">
      <c r="A157" s="1">
        <v>156</v>
      </c>
      <c r="B157" s="1" t="s">
        <v>21</v>
      </c>
      <c r="C157" s="1" t="s">
        <v>449</v>
      </c>
      <c r="D157" s="1" t="str" cm="1">
        <f t="array" ref="D157">_xlfn.IFS(J157="经验不限","初级",J157="1-3年","初级",J157="3-5年","中级",J157="5-10年","高级",J157="10年以上","资深")</f>
        <v>高级</v>
      </c>
      <c r="E157" s="12" cm="1">
        <f t="array" ref="E157">_xlfn.IFS(D157="初级",1,D157="中级",2,D157="高级",3,D157="资深",4,D157="管理",5)</f>
        <v>3</v>
      </c>
      <c r="F157" s="13" t="s">
        <v>556</v>
      </c>
      <c r="G157" s="14" t="s">
        <v>90</v>
      </c>
      <c r="H157" s="1" t="s">
        <v>91</v>
      </c>
      <c r="I157" s="1" t="s">
        <v>92</v>
      </c>
      <c r="J157" s="1" t="s">
        <v>24</v>
      </c>
      <c r="K157" s="1" t="s">
        <v>69</v>
      </c>
      <c r="L157" s="12" t="s">
        <v>496</v>
      </c>
      <c r="M157" s="15" t="s">
        <v>557</v>
      </c>
    </row>
  </sheetData>
  <mergeCells count="11">
    <mergeCell ref="G3:I3"/>
    <mergeCell ref="A3:A4"/>
    <mergeCell ref="B3:B4"/>
    <mergeCell ref="C3:C4"/>
    <mergeCell ref="D3:D4"/>
    <mergeCell ref="E3:E4"/>
    <mergeCell ref="F3:F4"/>
    <mergeCell ref="J3:J4"/>
    <mergeCell ref="K3:K4"/>
    <mergeCell ref="L3:L4"/>
    <mergeCell ref="M3:M4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4"/>
  <sheetViews>
    <sheetView topLeftCell="A139" workbookViewId="0">
      <selection activeCell="G17" sqref="G17"/>
    </sheetView>
  </sheetViews>
  <sheetFormatPr defaultColWidth="9" defaultRowHeight="13.5"/>
  <cols>
    <col min="1" max="1" width="18.875" customWidth="1"/>
    <col min="2" max="2" width="24" customWidth="1"/>
    <col min="4" max="4" width="13.5" customWidth="1"/>
    <col min="6" max="6" width="9" hidden="1" customWidth="1"/>
  </cols>
  <sheetData>
    <row r="1" spans="1:10">
      <c r="D1" t="s">
        <v>558</v>
      </c>
      <c r="E1" t="s">
        <v>559</v>
      </c>
      <c r="F1" t="s">
        <v>560</v>
      </c>
      <c r="G1" t="s">
        <v>561</v>
      </c>
    </row>
    <row r="2" ht="15" spans="1:10">
      <c r="A2" s="1" t="s">
        <v>11</v>
      </c>
      <c r="B2" s="1" t="s">
        <v>68</v>
      </c>
      <c r="C2" t="str">
        <f>D2&amp;"-"&amp;E2&amp;"K"</f>
        <v>10-11K</v>
      </c>
      <c r="D2">
        <v>10</v>
      </c>
      <c r="E2">
        <v>11</v>
      </c>
      <c r="G2">
        <f>(D2+E2)/2</f>
        <v>10.5</v>
      </c>
      <c r="J2" s="2"/>
    </row>
    <row r="3" spans="1:10">
      <c r="A3" s="1" t="s">
        <v>15</v>
      </c>
      <c r="B3" s="1" t="s">
        <v>76</v>
      </c>
      <c r="C3" t="str">
        <f>D3&amp;"-"&amp;E3&amp;"K"</f>
        <v>11-22K</v>
      </c>
      <c r="D3">
        <v>11</v>
      </c>
      <c r="E3">
        <v>22</v>
      </c>
      <c r="G3">
        <f>(D3+E3)/2</f>
        <v>16.5</v>
      </c>
    </row>
    <row r="4" spans="1:10">
      <c r="A4" s="1" t="s">
        <v>15</v>
      </c>
      <c r="B4" s="1" t="s">
        <v>76</v>
      </c>
      <c r="C4" t="str">
        <f>D4&amp;"-"&amp;E4&amp;"K"</f>
        <v>15-20K</v>
      </c>
      <c r="D4">
        <v>15</v>
      </c>
      <c r="E4">
        <v>20</v>
      </c>
      <c r="G4">
        <f>(D4+E4)/2</f>
        <v>17.5</v>
      </c>
    </row>
    <row r="5" spans="1:10">
      <c r="A5" s="1" t="s">
        <v>15</v>
      </c>
      <c r="B5" s="1" t="s">
        <v>76</v>
      </c>
      <c r="C5" t="str">
        <f>D5&amp;"-"&amp;E5&amp;"K"</f>
        <v>12-24K</v>
      </c>
      <c r="D5">
        <v>12</v>
      </c>
      <c r="E5">
        <v>24</v>
      </c>
      <c r="G5">
        <f>(D5+E5)/2</f>
        <v>18</v>
      </c>
    </row>
    <row r="6" spans="1:10">
      <c r="A6" s="1" t="s">
        <v>15</v>
      </c>
      <c r="B6" s="1" t="s">
        <v>76</v>
      </c>
      <c r="C6" t="str">
        <f t="shared" ref="C6:C33" si="0">D6&amp;"-"&amp;E6&amp;"K"</f>
        <v>15-30K</v>
      </c>
      <c r="D6">
        <v>15</v>
      </c>
      <c r="E6">
        <v>30</v>
      </c>
      <c r="G6">
        <f t="shared" ref="G6:G33" si="1">(D6+E6)/2</f>
        <v>22.5</v>
      </c>
    </row>
    <row r="7" spans="1:10">
      <c r="A7" s="1" t="s">
        <v>15</v>
      </c>
      <c r="B7" s="1" t="s">
        <v>76</v>
      </c>
      <c r="C7" t="str">
        <f t="shared" si="0"/>
        <v>15-25K</v>
      </c>
      <c r="D7">
        <v>15</v>
      </c>
      <c r="E7">
        <v>25</v>
      </c>
      <c r="G7">
        <f t="shared" si="1"/>
        <v>20</v>
      </c>
    </row>
    <row r="8" spans="1:10">
      <c r="A8" s="1" t="s">
        <v>101</v>
      </c>
      <c r="B8" s="1" t="s">
        <v>24</v>
      </c>
      <c r="C8" t="str">
        <f t="shared" si="0"/>
        <v>15-30K</v>
      </c>
      <c r="D8">
        <v>15</v>
      </c>
      <c r="E8">
        <v>30</v>
      </c>
      <c r="G8">
        <f t="shared" si="1"/>
        <v>22.5</v>
      </c>
    </row>
    <row r="9" spans="1:10">
      <c r="A9" s="1" t="s">
        <v>15</v>
      </c>
      <c r="B9" s="1" t="s">
        <v>76</v>
      </c>
      <c r="C9" t="str">
        <f t="shared" si="0"/>
        <v>15-30K</v>
      </c>
      <c r="D9">
        <v>15</v>
      </c>
      <c r="E9">
        <v>30</v>
      </c>
      <c r="G9">
        <f t="shared" si="1"/>
        <v>22.5</v>
      </c>
    </row>
    <row r="10" spans="1:10">
      <c r="A10" s="1" t="s">
        <v>15</v>
      </c>
      <c r="B10" s="1" t="s">
        <v>76</v>
      </c>
      <c r="C10" t="str">
        <f t="shared" si="0"/>
        <v>15-25K</v>
      </c>
      <c r="D10">
        <v>15</v>
      </c>
      <c r="E10">
        <v>25</v>
      </c>
      <c r="G10">
        <f t="shared" si="1"/>
        <v>20</v>
      </c>
    </row>
    <row r="11" spans="1:10">
      <c r="A11" s="1" t="s">
        <v>101</v>
      </c>
      <c r="B11" s="1" t="s">
        <v>115</v>
      </c>
      <c r="C11" t="str">
        <f t="shared" si="0"/>
        <v>35-65K</v>
      </c>
      <c r="D11">
        <v>35</v>
      </c>
      <c r="E11">
        <v>65</v>
      </c>
      <c r="G11">
        <f t="shared" si="1"/>
        <v>50</v>
      </c>
    </row>
    <row r="12" spans="1:10">
      <c r="A12" s="1" t="s">
        <v>15</v>
      </c>
      <c r="B12" s="1" t="s">
        <v>76</v>
      </c>
      <c r="C12" t="str">
        <f t="shared" si="0"/>
        <v>12-24K</v>
      </c>
      <c r="D12">
        <v>12</v>
      </c>
      <c r="E12">
        <v>24</v>
      </c>
      <c r="G12">
        <f t="shared" si="1"/>
        <v>18</v>
      </c>
    </row>
    <row r="13" spans="1:10">
      <c r="A13" s="1" t="s">
        <v>19</v>
      </c>
      <c r="B13" s="1" t="s">
        <v>24</v>
      </c>
      <c r="C13" t="str">
        <f t="shared" si="0"/>
        <v>15-25K</v>
      </c>
      <c r="D13">
        <v>15</v>
      </c>
      <c r="E13">
        <v>25</v>
      </c>
      <c r="G13">
        <f t="shared" si="1"/>
        <v>20</v>
      </c>
    </row>
    <row r="14" spans="1:10">
      <c r="A14" s="1" t="s">
        <v>15</v>
      </c>
      <c r="B14" s="1" t="s">
        <v>76</v>
      </c>
      <c r="C14" t="str">
        <f t="shared" si="0"/>
        <v>20-28K</v>
      </c>
      <c r="D14">
        <v>20</v>
      </c>
      <c r="E14">
        <v>28</v>
      </c>
      <c r="G14">
        <f t="shared" si="1"/>
        <v>24</v>
      </c>
    </row>
    <row r="15" spans="1:10">
      <c r="A15" s="1" t="s">
        <v>101</v>
      </c>
      <c r="B15" s="1" t="s">
        <v>76</v>
      </c>
      <c r="C15" t="str">
        <f t="shared" si="0"/>
        <v>15-30K</v>
      </c>
      <c r="D15">
        <v>15</v>
      </c>
      <c r="E15">
        <v>30</v>
      </c>
      <c r="G15">
        <f t="shared" si="1"/>
        <v>22.5</v>
      </c>
    </row>
    <row r="16" spans="1:10">
      <c r="A16" s="1" t="s">
        <v>101</v>
      </c>
      <c r="B16" s="1" t="s">
        <v>24</v>
      </c>
      <c r="C16" t="str">
        <f t="shared" si="0"/>
        <v>20-40K</v>
      </c>
      <c r="D16">
        <v>20</v>
      </c>
      <c r="E16">
        <v>40</v>
      </c>
      <c r="G16">
        <f t="shared" si="1"/>
        <v>30</v>
      </c>
    </row>
    <row r="17" spans="1:7">
      <c r="A17" s="1" t="s">
        <v>15</v>
      </c>
      <c r="B17" s="1" t="s">
        <v>76</v>
      </c>
      <c r="C17" t="str">
        <f t="shared" si="0"/>
        <v>12-20K</v>
      </c>
      <c r="D17">
        <v>12</v>
      </c>
      <c r="E17">
        <v>20</v>
      </c>
      <c r="G17">
        <f t="shared" si="1"/>
        <v>16</v>
      </c>
    </row>
    <row r="18" spans="1:7">
      <c r="A18" s="1" t="s">
        <v>101</v>
      </c>
      <c r="B18" s="1" t="s">
        <v>76</v>
      </c>
      <c r="C18" t="str">
        <f t="shared" si="0"/>
        <v>15-30K</v>
      </c>
      <c r="D18">
        <v>15</v>
      </c>
      <c r="E18">
        <v>30</v>
      </c>
      <c r="G18">
        <f t="shared" si="1"/>
        <v>22.5</v>
      </c>
    </row>
    <row r="19" spans="1:7">
      <c r="A19" s="1" t="s">
        <v>101</v>
      </c>
      <c r="B19" s="1" t="s">
        <v>24</v>
      </c>
      <c r="C19" t="str">
        <f t="shared" si="0"/>
        <v>15-30K</v>
      </c>
      <c r="D19">
        <v>15</v>
      </c>
      <c r="E19">
        <v>30</v>
      </c>
      <c r="G19">
        <f t="shared" si="1"/>
        <v>22.5</v>
      </c>
    </row>
    <row r="20" spans="1:7">
      <c r="A20" s="1" t="s">
        <v>101</v>
      </c>
      <c r="B20" s="1" t="s">
        <v>24</v>
      </c>
      <c r="C20" t="str">
        <f t="shared" si="0"/>
        <v>20-35K</v>
      </c>
      <c r="D20">
        <v>20</v>
      </c>
      <c r="E20">
        <v>35</v>
      </c>
      <c r="G20">
        <f t="shared" si="1"/>
        <v>27.5</v>
      </c>
    </row>
    <row r="21" spans="1:7">
      <c r="A21" s="1" t="s">
        <v>15</v>
      </c>
      <c r="B21" s="1" t="s">
        <v>76</v>
      </c>
      <c r="C21" t="str">
        <f t="shared" si="0"/>
        <v>11-20K</v>
      </c>
      <c r="D21">
        <v>11</v>
      </c>
      <c r="E21">
        <v>20</v>
      </c>
      <c r="F21" t="s">
        <v>562</v>
      </c>
      <c r="G21">
        <f t="shared" si="1"/>
        <v>15.5</v>
      </c>
    </row>
    <row r="22" spans="1:7">
      <c r="A22" s="1" t="s">
        <v>19</v>
      </c>
      <c r="B22" s="1" t="s">
        <v>24</v>
      </c>
      <c r="C22" t="str">
        <f t="shared" si="0"/>
        <v>11-20K</v>
      </c>
      <c r="D22">
        <v>11</v>
      </c>
      <c r="E22">
        <v>20</v>
      </c>
      <c r="F22" t="s">
        <v>562</v>
      </c>
      <c r="G22">
        <f t="shared" si="1"/>
        <v>15.5</v>
      </c>
    </row>
    <row r="23" spans="1:7">
      <c r="A23" s="1" t="s">
        <v>11</v>
      </c>
      <c r="B23" s="1" t="s">
        <v>12</v>
      </c>
      <c r="C23" t="str">
        <f t="shared" si="0"/>
        <v>10-15K</v>
      </c>
      <c r="D23">
        <v>10</v>
      </c>
      <c r="E23">
        <v>15</v>
      </c>
      <c r="F23" t="s">
        <v>562</v>
      </c>
      <c r="G23">
        <f t="shared" si="1"/>
        <v>12.5</v>
      </c>
    </row>
    <row r="24" spans="1:7">
      <c r="A24" s="1" t="s">
        <v>11</v>
      </c>
      <c r="B24" s="1" t="s">
        <v>68</v>
      </c>
      <c r="C24" t="str">
        <f t="shared" si="0"/>
        <v>12-15K</v>
      </c>
      <c r="D24">
        <v>12</v>
      </c>
      <c r="E24">
        <v>15</v>
      </c>
      <c r="F24" t="s">
        <v>562</v>
      </c>
      <c r="G24">
        <f t="shared" si="1"/>
        <v>13.5</v>
      </c>
    </row>
    <row r="25" spans="1:7">
      <c r="A25" s="1" t="s">
        <v>19</v>
      </c>
      <c r="B25" s="1" t="s">
        <v>24</v>
      </c>
      <c r="C25" t="str">
        <f t="shared" si="0"/>
        <v>13-14K</v>
      </c>
      <c r="D25">
        <v>13</v>
      </c>
      <c r="E25">
        <v>14</v>
      </c>
      <c r="F25" t="s">
        <v>562</v>
      </c>
      <c r="G25">
        <f t="shared" si="1"/>
        <v>13.5</v>
      </c>
    </row>
    <row r="26" spans="1:7">
      <c r="A26" s="1" t="s">
        <v>15</v>
      </c>
      <c r="B26" s="1" t="s">
        <v>76</v>
      </c>
      <c r="C26" t="str">
        <f t="shared" si="0"/>
        <v>13-25K</v>
      </c>
      <c r="D26">
        <v>13</v>
      </c>
      <c r="E26">
        <v>25</v>
      </c>
      <c r="F26" t="s">
        <v>562</v>
      </c>
      <c r="G26">
        <f t="shared" si="1"/>
        <v>19</v>
      </c>
    </row>
    <row r="27" spans="1:7">
      <c r="A27" s="1" t="s">
        <v>15</v>
      </c>
      <c r="B27" s="1" t="s">
        <v>76</v>
      </c>
      <c r="C27" t="str">
        <f t="shared" si="0"/>
        <v>15-20K</v>
      </c>
      <c r="D27">
        <v>15</v>
      </c>
      <c r="E27">
        <v>20</v>
      </c>
      <c r="F27" t="s">
        <v>562</v>
      </c>
      <c r="G27">
        <f t="shared" si="1"/>
        <v>17.5</v>
      </c>
    </row>
    <row r="28" spans="1:7">
      <c r="A28" s="1" t="s">
        <v>15</v>
      </c>
      <c r="B28" s="1" t="s">
        <v>76</v>
      </c>
      <c r="C28" t="str">
        <f t="shared" si="0"/>
        <v>12-24K</v>
      </c>
      <c r="D28">
        <v>12</v>
      </c>
      <c r="E28">
        <v>24</v>
      </c>
      <c r="G28">
        <f t="shared" si="1"/>
        <v>18</v>
      </c>
    </row>
    <row r="29" spans="1:7">
      <c r="A29" s="1" t="s">
        <v>15</v>
      </c>
      <c r="B29" s="1" t="s">
        <v>76</v>
      </c>
      <c r="C29" t="str">
        <f t="shared" si="0"/>
        <v>15-25K</v>
      </c>
      <c r="D29">
        <v>15</v>
      </c>
      <c r="E29">
        <v>25</v>
      </c>
      <c r="F29" t="s">
        <v>563</v>
      </c>
      <c r="G29">
        <f t="shared" si="1"/>
        <v>20</v>
      </c>
    </row>
    <row r="30" spans="1:7">
      <c r="A30" s="1" t="s">
        <v>15</v>
      </c>
      <c r="B30" s="1" t="s">
        <v>76</v>
      </c>
      <c r="C30" t="str">
        <f t="shared" si="0"/>
        <v>15-25K</v>
      </c>
      <c r="D30">
        <v>15</v>
      </c>
      <c r="E30">
        <v>25</v>
      </c>
      <c r="F30" t="s">
        <v>562</v>
      </c>
      <c r="G30">
        <f t="shared" si="1"/>
        <v>20</v>
      </c>
    </row>
    <row r="31" spans="1:7">
      <c r="A31" s="1" t="s">
        <v>15</v>
      </c>
      <c r="B31" s="1" t="s">
        <v>76</v>
      </c>
      <c r="C31" t="str">
        <f t="shared" si="0"/>
        <v>15-25K</v>
      </c>
      <c r="D31">
        <v>15</v>
      </c>
      <c r="E31">
        <v>25</v>
      </c>
      <c r="F31" t="s">
        <v>562</v>
      </c>
      <c r="G31">
        <f t="shared" si="1"/>
        <v>20</v>
      </c>
    </row>
    <row r="32" spans="1:7">
      <c r="A32" s="1" t="s">
        <v>101</v>
      </c>
      <c r="B32" s="1" t="s">
        <v>76</v>
      </c>
      <c r="C32" t="str">
        <f t="shared" si="0"/>
        <v>13-26K</v>
      </c>
      <c r="D32">
        <v>13</v>
      </c>
      <c r="E32">
        <v>26</v>
      </c>
      <c r="F32" t="s">
        <v>562</v>
      </c>
      <c r="G32">
        <f t="shared" si="1"/>
        <v>19.5</v>
      </c>
    </row>
    <row r="33" spans="1:7">
      <c r="A33" s="1" t="s">
        <v>19</v>
      </c>
      <c r="B33" s="1" t="s">
        <v>24</v>
      </c>
      <c r="C33" t="str">
        <f t="shared" si="0"/>
        <v>12-20K</v>
      </c>
      <c r="D33">
        <v>12</v>
      </c>
      <c r="E33">
        <v>20</v>
      </c>
      <c r="F33" t="s">
        <v>562</v>
      </c>
      <c r="G33">
        <f t="shared" si="1"/>
        <v>16</v>
      </c>
    </row>
    <row r="34" spans="1:7">
      <c r="A34" s="1" t="s">
        <v>11</v>
      </c>
      <c r="B34" s="1" t="s">
        <v>12</v>
      </c>
      <c r="C34" t="str">
        <f t="shared" ref="C34:C65" si="2">D34&amp;"-"&amp;E34&amp;"K"</f>
        <v>10-15K</v>
      </c>
      <c r="D34">
        <v>10</v>
      </c>
      <c r="E34">
        <v>15</v>
      </c>
      <c r="F34" t="s">
        <v>562</v>
      </c>
      <c r="G34">
        <f t="shared" ref="G34:G65" si="3">(D34+E34)/2</f>
        <v>12.5</v>
      </c>
    </row>
    <row r="35" spans="1:7">
      <c r="A35" s="1" t="s">
        <v>15</v>
      </c>
      <c r="B35" s="1" t="s">
        <v>76</v>
      </c>
      <c r="C35" t="str">
        <f t="shared" si="2"/>
        <v>14-25K</v>
      </c>
      <c r="D35">
        <v>14</v>
      </c>
      <c r="E35">
        <v>25</v>
      </c>
      <c r="F35" t="s">
        <v>562</v>
      </c>
      <c r="G35">
        <f t="shared" si="3"/>
        <v>19.5</v>
      </c>
    </row>
    <row r="36" spans="1:7">
      <c r="A36" s="1" t="s">
        <v>19</v>
      </c>
      <c r="B36" s="1" t="s">
        <v>24</v>
      </c>
      <c r="C36" t="str">
        <f t="shared" si="2"/>
        <v>11-20K</v>
      </c>
      <c r="D36">
        <v>11</v>
      </c>
      <c r="E36">
        <v>20</v>
      </c>
      <c r="F36" t="s">
        <v>562</v>
      </c>
      <c r="G36">
        <f t="shared" si="3"/>
        <v>15.5</v>
      </c>
    </row>
    <row r="37" spans="1:7">
      <c r="A37" s="1" t="s">
        <v>11</v>
      </c>
      <c r="B37" s="1" t="s">
        <v>12</v>
      </c>
      <c r="C37" t="str">
        <f t="shared" si="2"/>
        <v>11-20K</v>
      </c>
      <c r="D37">
        <v>11</v>
      </c>
      <c r="E37">
        <v>20</v>
      </c>
      <c r="F37" t="s">
        <v>562</v>
      </c>
      <c r="G37">
        <f t="shared" si="3"/>
        <v>15.5</v>
      </c>
    </row>
    <row r="38" spans="1:7">
      <c r="A38" s="1" t="s">
        <v>15</v>
      </c>
      <c r="B38" s="1" t="s">
        <v>76</v>
      </c>
      <c r="C38" t="str">
        <f t="shared" si="2"/>
        <v>15-20K</v>
      </c>
      <c r="D38">
        <v>15</v>
      </c>
      <c r="E38">
        <v>20</v>
      </c>
      <c r="F38" t="s">
        <v>562</v>
      </c>
      <c r="G38">
        <f t="shared" si="3"/>
        <v>17.5</v>
      </c>
    </row>
    <row r="39" spans="1:7">
      <c r="A39" s="1" t="s">
        <v>19</v>
      </c>
      <c r="B39" s="1" t="s">
        <v>24</v>
      </c>
      <c r="C39" t="str">
        <f t="shared" si="2"/>
        <v>10-15K</v>
      </c>
      <c r="D39">
        <v>10</v>
      </c>
      <c r="E39">
        <v>15</v>
      </c>
      <c r="F39" t="s">
        <v>562</v>
      </c>
      <c r="G39">
        <f t="shared" si="3"/>
        <v>12.5</v>
      </c>
    </row>
    <row r="40" spans="1:7">
      <c r="A40" s="1" t="s">
        <v>15</v>
      </c>
      <c r="B40" s="1" t="s">
        <v>76</v>
      </c>
      <c r="C40" t="str">
        <f t="shared" si="2"/>
        <v>11-20K</v>
      </c>
      <c r="D40">
        <v>11</v>
      </c>
      <c r="E40">
        <v>20</v>
      </c>
      <c r="F40" t="s">
        <v>562</v>
      </c>
      <c r="G40">
        <f t="shared" si="3"/>
        <v>15.5</v>
      </c>
    </row>
    <row r="41" spans="1:7">
      <c r="A41" s="1" t="s">
        <v>19</v>
      </c>
      <c r="B41" s="1" t="s">
        <v>24</v>
      </c>
      <c r="C41" t="str">
        <f t="shared" si="2"/>
        <v>15-30K</v>
      </c>
      <c r="D41">
        <v>15</v>
      </c>
      <c r="E41">
        <v>30</v>
      </c>
      <c r="G41">
        <f t="shared" si="3"/>
        <v>22.5</v>
      </c>
    </row>
    <row r="42" spans="1:7">
      <c r="A42" s="1" t="s">
        <v>15</v>
      </c>
      <c r="B42" s="1" t="s">
        <v>76</v>
      </c>
      <c r="C42" t="str">
        <f t="shared" si="2"/>
        <v>12-24K</v>
      </c>
      <c r="D42">
        <v>12</v>
      </c>
      <c r="E42">
        <v>24</v>
      </c>
      <c r="G42">
        <f t="shared" si="3"/>
        <v>18</v>
      </c>
    </row>
    <row r="43" spans="1:7">
      <c r="A43" s="1" t="s">
        <v>15</v>
      </c>
      <c r="B43" s="1" t="s">
        <v>76</v>
      </c>
      <c r="C43" t="str">
        <f t="shared" si="2"/>
        <v>12-24K</v>
      </c>
      <c r="D43">
        <v>12</v>
      </c>
      <c r="E43">
        <v>24</v>
      </c>
      <c r="G43">
        <f t="shared" si="3"/>
        <v>18</v>
      </c>
    </row>
    <row r="44" spans="1:7">
      <c r="A44" s="1" t="s">
        <v>15</v>
      </c>
      <c r="B44" s="1" t="s">
        <v>76</v>
      </c>
      <c r="C44" t="str">
        <f t="shared" si="2"/>
        <v>15-25K</v>
      </c>
      <c r="D44">
        <v>15</v>
      </c>
      <c r="E44">
        <v>25</v>
      </c>
      <c r="F44" t="s">
        <v>562</v>
      </c>
      <c r="G44">
        <f t="shared" si="3"/>
        <v>20</v>
      </c>
    </row>
    <row r="45" spans="1:7">
      <c r="A45" s="1" t="s">
        <v>19</v>
      </c>
      <c r="B45" s="1" t="s">
        <v>24</v>
      </c>
      <c r="C45" t="str">
        <f t="shared" si="2"/>
        <v>15-25K</v>
      </c>
      <c r="D45">
        <v>15</v>
      </c>
      <c r="E45">
        <v>25</v>
      </c>
      <c r="F45" t="s">
        <v>563</v>
      </c>
      <c r="G45">
        <f t="shared" si="3"/>
        <v>20</v>
      </c>
    </row>
    <row r="46" spans="1:7">
      <c r="A46" s="1" t="s">
        <v>15</v>
      </c>
      <c r="B46" s="1" t="s">
        <v>76</v>
      </c>
      <c r="C46" t="str">
        <f t="shared" si="2"/>
        <v>13-26K</v>
      </c>
      <c r="D46">
        <v>13</v>
      </c>
      <c r="E46">
        <v>26</v>
      </c>
      <c r="G46">
        <f t="shared" si="3"/>
        <v>19.5</v>
      </c>
    </row>
    <row r="47" spans="1:7">
      <c r="A47" s="1" t="s">
        <v>15</v>
      </c>
      <c r="B47" s="1" t="s">
        <v>76</v>
      </c>
      <c r="C47" t="str">
        <f t="shared" si="2"/>
        <v>12-24K</v>
      </c>
      <c r="D47">
        <v>12</v>
      </c>
      <c r="E47">
        <v>24</v>
      </c>
      <c r="F47" t="s">
        <v>562</v>
      </c>
      <c r="G47">
        <f t="shared" si="3"/>
        <v>18</v>
      </c>
    </row>
    <row r="48" spans="1:7">
      <c r="A48" s="1" t="s">
        <v>101</v>
      </c>
      <c r="B48" s="1" t="s">
        <v>24</v>
      </c>
      <c r="C48" t="str">
        <f t="shared" si="2"/>
        <v>15-25K</v>
      </c>
      <c r="D48">
        <v>15</v>
      </c>
      <c r="E48">
        <v>25</v>
      </c>
      <c r="F48" t="s">
        <v>562</v>
      </c>
      <c r="G48">
        <f t="shared" si="3"/>
        <v>20</v>
      </c>
    </row>
    <row r="49" spans="1:7">
      <c r="A49" s="1" t="s">
        <v>11</v>
      </c>
      <c r="B49" s="1" t="s">
        <v>12</v>
      </c>
      <c r="C49" t="str">
        <f t="shared" si="2"/>
        <v>12-24K</v>
      </c>
      <c r="D49">
        <v>12</v>
      </c>
      <c r="E49">
        <v>24</v>
      </c>
      <c r="F49" t="s">
        <v>562</v>
      </c>
      <c r="G49">
        <f t="shared" si="3"/>
        <v>18</v>
      </c>
    </row>
    <row r="50" spans="1:7">
      <c r="A50" s="1" t="s">
        <v>15</v>
      </c>
      <c r="B50" s="1" t="s">
        <v>76</v>
      </c>
      <c r="C50" t="str">
        <f t="shared" si="2"/>
        <v>10-15K</v>
      </c>
      <c r="D50">
        <v>10</v>
      </c>
      <c r="E50">
        <v>15</v>
      </c>
      <c r="F50" t="s">
        <v>562</v>
      </c>
      <c r="G50">
        <f t="shared" si="3"/>
        <v>12.5</v>
      </c>
    </row>
    <row r="51" spans="1:7">
      <c r="A51" s="1" t="s">
        <v>15</v>
      </c>
      <c r="B51" s="1" t="s">
        <v>76</v>
      </c>
      <c r="C51" t="str">
        <f t="shared" si="2"/>
        <v>14-20K</v>
      </c>
      <c r="D51">
        <v>14</v>
      </c>
      <c r="E51">
        <v>20</v>
      </c>
      <c r="F51" t="s">
        <v>562</v>
      </c>
      <c r="G51">
        <f t="shared" si="3"/>
        <v>17</v>
      </c>
    </row>
    <row r="52" spans="1:7">
      <c r="A52" s="1" t="s">
        <v>19</v>
      </c>
      <c r="B52" s="1" t="s">
        <v>24</v>
      </c>
      <c r="C52" t="str">
        <f t="shared" si="2"/>
        <v>15-25K</v>
      </c>
      <c r="D52">
        <v>15</v>
      </c>
      <c r="E52">
        <v>25</v>
      </c>
      <c r="F52" t="s">
        <v>562</v>
      </c>
      <c r="G52">
        <f t="shared" si="3"/>
        <v>20</v>
      </c>
    </row>
    <row r="53" spans="1:7">
      <c r="A53" s="1" t="s">
        <v>19</v>
      </c>
      <c r="B53" s="1" t="s">
        <v>24</v>
      </c>
      <c r="C53" t="str">
        <f t="shared" si="2"/>
        <v>11-20K</v>
      </c>
      <c r="D53">
        <v>11</v>
      </c>
      <c r="E53">
        <v>20</v>
      </c>
      <c r="F53" t="s">
        <v>562</v>
      </c>
      <c r="G53">
        <f t="shared" si="3"/>
        <v>15.5</v>
      </c>
    </row>
    <row r="54" spans="1:7">
      <c r="A54" s="1" t="s">
        <v>19</v>
      </c>
      <c r="B54" s="1" t="s">
        <v>24</v>
      </c>
      <c r="C54" t="str">
        <f t="shared" si="2"/>
        <v>15-30K</v>
      </c>
      <c r="D54">
        <v>15</v>
      </c>
      <c r="E54">
        <v>30</v>
      </c>
      <c r="F54" t="s">
        <v>562</v>
      </c>
      <c r="G54">
        <f t="shared" si="3"/>
        <v>22.5</v>
      </c>
    </row>
    <row r="55" spans="1:7">
      <c r="A55" s="1" t="s">
        <v>15</v>
      </c>
      <c r="B55" s="1" t="s">
        <v>76</v>
      </c>
      <c r="C55" t="str">
        <f t="shared" si="2"/>
        <v>15-16K</v>
      </c>
      <c r="D55">
        <v>15</v>
      </c>
      <c r="E55">
        <v>16</v>
      </c>
      <c r="F55" t="s">
        <v>562</v>
      </c>
      <c r="G55">
        <f t="shared" si="3"/>
        <v>15.5</v>
      </c>
    </row>
    <row r="56" spans="1:7">
      <c r="A56" s="1" t="s">
        <v>15</v>
      </c>
      <c r="B56" s="1" t="s">
        <v>76</v>
      </c>
      <c r="C56" t="str">
        <f t="shared" si="2"/>
        <v>10-15K</v>
      </c>
      <c r="D56">
        <v>10</v>
      </c>
      <c r="E56">
        <v>15</v>
      </c>
      <c r="F56" t="s">
        <v>562</v>
      </c>
      <c r="G56">
        <f t="shared" si="3"/>
        <v>12.5</v>
      </c>
    </row>
    <row r="57" spans="1:7">
      <c r="A57" s="1" t="s">
        <v>15</v>
      </c>
      <c r="B57" s="1" t="s">
        <v>76</v>
      </c>
      <c r="C57" t="str">
        <f t="shared" si="2"/>
        <v>8-13K</v>
      </c>
      <c r="D57">
        <v>8</v>
      </c>
      <c r="E57">
        <v>13</v>
      </c>
      <c r="F57" t="s">
        <v>562</v>
      </c>
      <c r="G57">
        <f t="shared" si="3"/>
        <v>10.5</v>
      </c>
    </row>
    <row r="58" spans="1:7">
      <c r="A58" s="1" t="s">
        <v>15</v>
      </c>
      <c r="B58" s="1" t="s">
        <v>76</v>
      </c>
      <c r="C58" t="str">
        <f t="shared" si="2"/>
        <v>15-25K</v>
      </c>
      <c r="D58">
        <v>15</v>
      </c>
      <c r="E58">
        <v>25</v>
      </c>
      <c r="F58" t="s">
        <v>562</v>
      </c>
      <c r="G58">
        <f t="shared" si="3"/>
        <v>20</v>
      </c>
    </row>
    <row r="59" spans="1:7">
      <c r="A59" s="1" t="s">
        <v>101</v>
      </c>
      <c r="B59" s="1" t="s">
        <v>76</v>
      </c>
      <c r="C59" t="str">
        <f t="shared" si="2"/>
        <v>15-25K</v>
      </c>
      <c r="D59">
        <v>15</v>
      </c>
      <c r="E59">
        <v>25</v>
      </c>
      <c r="F59" t="s">
        <v>562</v>
      </c>
      <c r="G59">
        <f t="shared" si="3"/>
        <v>20</v>
      </c>
    </row>
    <row r="60" spans="1:7">
      <c r="A60" s="1" t="s">
        <v>19</v>
      </c>
      <c r="B60" s="1" t="s">
        <v>24</v>
      </c>
      <c r="C60" t="str">
        <f t="shared" si="2"/>
        <v>15-25K</v>
      </c>
      <c r="D60">
        <v>15</v>
      </c>
      <c r="E60">
        <v>25</v>
      </c>
      <c r="F60" t="s">
        <v>563</v>
      </c>
      <c r="G60">
        <f t="shared" si="3"/>
        <v>20</v>
      </c>
    </row>
    <row r="61" spans="1:7">
      <c r="A61" s="1" t="s">
        <v>15</v>
      </c>
      <c r="B61" s="1" t="s">
        <v>76</v>
      </c>
      <c r="C61" t="str">
        <f t="shared" si="2"/>
        <v>12-24K</v>
      </c>
      <c r="D61">
        <v>12</v>
      </c>
      <c r="E61">
        <v>24</v>
      </c>
      <c r="F61" t="s">
        <v>562</v>
      </c>
      <c r="G61">
        <f t="shared" si="3"/>
        <v>18</v>
      </c>
    </row>
    <row r="62" spans="1:7">
      <c r="A62" s="1" t="s">
        <v>19</v>
      </c>
      <c r="B62" s="1" t="s">
        <v>24</v>
      </c>
      <c r="C62" t="str">
        <f t="shared" si="2"/>
        <v>15-30K</v>
      </c>
      <c r="D62">
        <v>15</v>
      </c>
      <c r="E62">
        <v>30</v>
      </c>
      <c r="F62" t="s">
        <v>562</v>
      </c>
      <c r="G62">
        <f t="shared" si="3"/>
        <v>22.5</v>
      </c>
    </row>
    <row r="63" spans="1:7">
      <c r="A63" s="1" t="s">
        <v>19</v>
      </c>
      <c r="B63" s="1" t="s">
        <v>24</v>
      </c>
      <c r="C63" t="str">
        <f t="shared" si="2"/>
        <v>12-20K</v>
      </c>
      <c r="D63">
        <v>12</v>
      </c>
      <c r="E63">
        <v>20</v>
      </c>
      <c r="F63" t="s">
        <v>562</v>
      </c>
      <c r="G63">
        <f t="shared" si="3"/>
        <v>16</v>
      </c>
    </row>
    <row r="64" spans="1:7">
      <c r="A64" s="1" t="s">
        <v>11</v>
      </c>
      <c r="B64" s="1" t="s">
        <v>12</v>
      </c>
      <c r="C64" t="str">
        <f t="shared" si="2"/>
        <v>11-20K</v>
      </c>
      <c r="D64">
        <v>11</v>
      </c>
      <c r="E64">
        <v>20</v>
      </c>
      <c r="F64" t="s">
        <v>562</v>
      </c>
      <c r="G64">
        <f t="shared" si="3"/>
        <v>15.5</v>
      </c>
    </row>
    <row r="65" spans="1:7">
      <c r="A65" s="1" t="s">
        <v>11</v>
      </c>
      <c r="B65" s="1" t="s">
        <v>12</v>
      </c>
      <c r="C65" t="str">
        <f t="shared" si="2"/>
        <v>15-20K</v>
      </c>
      <c r="D65">
        <v>15</v>
      </c>
      <c r="E65">
        <v>20</v>
      </c>
      <c r="F65" t="s">
        <v>563</v>
      </c>
      <c r="G65">
        <f t="shared" si="3"/>
        <v>17.5</v>
      </c>
    </row>
    <row r="66" spans="1:7">
      <c r="A66" s="1" t="s">
        <v>15</v>
      </c>
      <c r="B66" s="1" t="s">
        <v>76</v>
      </c>
      <c r="C66" t="str">
        <f t="shared" ref="C66:C97" si="4">D66&amp;"-"&amp;E66&amp;"K"</f>
        <v>13-26K</v>
      </c>
      <c r="D66">
        <v>13</v>
      </c>
      <c r="E66">
        <v>26</v>
      </c>
      <c r="G66">
        <f t="shared" ref="G66:G97" si="5">(D66+E66)/2</f>
        <v>19.5</v>
      </c>
    </row>
    <row r="67" spans="1:7">
      <c r="A67" s="1" t="s">
        <v>15</v>
      </c>
      <c r="B67" s="1" t="s">
        <v>76</v>
      </c>
      <c r="C67" t="str">
        <f t="shared" si="4"/>
        <v>12-24K</v>
      </c>
      <c r="D67">
        <v>12</v>
      </c>
      <c r="E67">
        <v>24</v>
      </c>
      <c r="F67" t="s">
        <v>562</v>
      </c>
      <c r="G67">
        <f t="shared" si="5"/>
        <v>18</v>
      </c>
    </row>
    <row r="68" spans="1:7">
      <c r="A68" s="1" t="s">
        <v>11</v>
      </c>
      <c r="B68" s="1" t="s">
        <v>12</v>
      </c>
      <c r="C68" t="str">
        <f t="shared" si="4"/>
        <v>12-18K</v>
      </c>
      <c r="D68">
        <v>12</v>
      </c>
      <c r="E68">
        <v>18</v>
      </c>
      <c r="F68" t="s">
        <v>562</v>
      </c>
      <c r="G68">
        <f t="shared" si="5"/>
        <v>15</v>
      </c>
    </row>
    <row r="69" spans="1:7">
      <c r="A69" s="1" t="s">
        <v>11</v>
      </c>
      <c r="B69" s="1" t="s">
        <v>12</v>
      </c>
      <c r="C69" t="str">
        <f t="shared" si="4"/>
        <v>10-15K</v>
      </c>
      <c r="D69">
        <v>10</v>
      </c>
      <c r="E69">
        <v>15</v>
      </c>
      <c r="F69" t="s">
        <v>562</v>
      </c>
      <c r="G69">
        <f t="shared" si="5"/>
        <v>12.5</v>
      </c>
    </row>
    <row r="70" spans="1:7">
      <c r="A70" s="1" t="s">
        <v>15</v>
      </c>
      <c r="B70" s="1" t="s">
        <v>76</v>
      </c>
      <c r="C70" t="str">
        <f t="shared" si="4"/>
        <v>20-30K</v>
      </c>
      <c r="D70">
        <v>20</v>
      </c>
      <c r="E70">
        <v>30</v>
      </c>
      <c r="G70">
        <f t="shared" si="5"/>
        <v>25</v>
      </c>
    </row>
    <row r="71" spans="1:7">
      <c r="A71" s="1" t="s">
        <v>11</v>
      </c>
      <c r="B71" s="1" t="s">
        <v>12</v>
      </c>
      <c r="C71" t="str">
        <f t="shared" si="4"/>
        <v>11-18K</v>
      </c>
      <c r="D71">
        <v>11</v>
      </c>
      <c r="E71">
        <v>18</v>
      </c>
      <c r="F71" t="s">
        <v>562</v>
      </c>
      <c r="G71">
        <f t="shared" si="5"/>
        <v>14.5</v>
      </c>
    </row>
    <row r="72" spans="1:7">
      <c r="A72" s="1" t="s">
        <v>15</v>
      </c>
      <c r="B72" s="1" t="s">
        <v>76</v>
      </c>
      <c r="C72" t="str">
        <f t="shared" si="4"/>
        <v>11-20K</v>
      </c>
      <c r="D72">
        <v>11</v>
      </c>
      <c r="E72">
        <v>20</v>
      </c>
      <c r="F72" t="s">
        <v>562</v>
      </c>
      <c r="G72">
        <f t="shared" si="5"/>
        <v>15.5</v>
      </c>
    </row>
    <row r="73" spans="1:7">
      <c r="A73" s="1" t="s">
        <v>15</v>
      </c>
      <c r="B73" s="1" t="s">
        <v>76</v>
      </c>
      <c r="C73" t="str">
        <f t="shared" si="4"/>
        <v>10-15K</v>
      </c>
      <c r="D73">
        <v>10</v>
      </c>
      <c r="E73">
        <v>15</v>
      </c>
      <c r="F73" t="s">
        <v>562</v>
      </c>
      <c r="G73">
        <f t="shared" si="5"/>
        <v>12.5</v>
      </c>
    </row>
    <row r="74" spans="1:7">
      <c r="A74" s="1" t="s">
        <v>15</v>
      </c>
      <c r="B74" s="1" t="s">
        <v>76</v>
      </c>
      <c r="C74" t="str">
        <f t="shared" si="4"/>
        <v>15-25K</v>
      </c>
      <c r="D74">
        <v>15</v>
      </c>
      <c r="E74">
        <v>25</v>
      </c>
      <c r="F74" t="s">
        <v>563</v>
      </c>
      <c r="G74">
        <f t="shared" si="5"/>
        <v>20</v>
      </c>
    </row>
    <row r="75" spans="1:7">
      <c r="A75" s="1" t="s">
        <v>15</v>
      </c>
      <c r="B75" s="1" t="s">
        <v>76</v>
      </c>
      <c r="C75" t="str">
        <f t="shared" si="4"/>
        <v>11-22K</v>
      </c>
      <c r="D75">
        <v>11</v>
      </c>
      <c r="E75">
        <v>22</v>
      </c>
      <c r="G75">
        <f t="shared" si="5"/>
        <v>16.5</v>
      </c>
    </row>
    <row r="76" spans="1:7">
      <c r="A76" s="1" t="s">
        <v>19</v>
      </c>
      <c r="B76" s="1" t="s">
        <v>24</v>
      </c>
      <c r="C76" t="str">
        <f t="shared" si="4"/>
        <v>12-20K</v>
      </c>
      <c r="D76">
        <v>12</v>
      </c>
      <c r="E76">
        <v>20</v>
      </c>
      <c r="F76" t="s">
        <v>562</v>
      </c>
      <c r="G76">
        <f t="shared" si="5"/>
        <v>16</v>
      </c>
    </row>
    <row r="77" spans="1:7">
      <c r="A77" s="1" t="s">
        <v>19</v>
      </c>
      <c r="B77" s="1" t="s">
        <v>24</v>
      </c>
      <c r="C77" t="str">
        <f t="shared" si="4"/>
        <v>15-25K</v>
      </c>
      <c r="D77">
        <v>15</v>
      </c>
      <c r="E77">
        <v>25</v>
      </c>
      <c r="F77" t="s">
        <v>562</v>
      </c>
      <c r="G77">
        <f t="shared" si="5"/>
        <v>20</v>
      </c>
    </row>
    <row r="78" spans="1:7">
      <c r="A78" s="1" t="s">
        <v>11</v>
      </c>
      <c r="B78" s="1" t="s">
        <v>12</v>
      </c>
      <c r="C78" t="str">
        <f t="shared" si="4"/>
        <v>12-20K</v>
      </c>
      <c r="D78">
        <v>12</v>
      </c>
      <c r="E78">
        <v>20</v>
      </c>
      <c r="G78">
        <f t="shared" si="5"/>
        <v>16</v>
      </c>
    </row>
    <row r="79" spans="1:7">
      <c r="A79" s="1" t="s">
        <v>19</v>
      </c>
      <c r="B79" s="1" t="s">
        <v>24</v>
      </c>
      <c r="C79" t="str">
        <f t="shared" si="4"/>
        <v>15-30K</v>
      </c>
      <c r="D79">
        <v>15</v>
      </c>
      <c r="E79">
        <v>30</v>
      </c>
      <c r="G79">
        <f t="shared" si="5"/>
        <v>22.5</v>
      </c>
    </row>
    <row r="80" spans="1:7">
      <c r="A80" s="1" t="s">
        <v>15</v>
      </c>
      <c r="B80" s="1" t="s">
        <v>76</v>
      </c>
      <c r="C80" t="str">
        <f t="shared" si="4"/>
        <v>11-20K</v>
      </c>
      <c r="D80">
        <v>11</v>
      </c>
      <c r="E80">
        <v>20</v>
      </c>
      <c r="F80" t="s">
        <v>562</v>
      </c>
      <c r="G80">
        <f t="shared" si="5"/>
        <v>15.5</v>
      </c>
    </row>
    <row r="81" spans="1:7">
      <c r="A81" s="1" t="s">
        <v>11</v>
      </c>
      <c r="B81" s="1" t="s">
        <v>12</v>
      </c>
      <c r="C81" t="str">
        <f t="shared" si="4"/>
        <v>12-18K</v>
      </c>
      <c r="D81">
        <v>12</v>
      </c>
      <c r="E81">
        <v>18</v>
      </c>
      <c r="F81" t="s">
        <v>562</v>
      </c>
      <c r="G81">
        <f t="shared" si="5"/>
        <v>15</v>
      </c>
    </row>
    <row r="82" spans="1:7">
      <c r="A82" s="1" t="s">
        <v>15</v>
      </c>
      <c r="B82" s="1" t="s">
        <v>76</v>
      </c>
      <c r="C82" t="str">
        <f t="shared" si="4"/>
        <v>12-24K</v>
      </c>
      <c r="D82">
        <v>12</v>
      </c>
      <c r="E82">
        <v>24</v>
      </c>
      <c r="F82" t="s">
        <v>562</v>
      </c>
      <c r="G82">
        <f t="shared" si="5"/>
        <v>18</v>
      </c>
    </row>
    <row r="83" spans="1:7">
      <c r="A83" s="1" t="s">
        <v>15</v>
      </c>
      <c r="B83" s="1" t="s">
        <v>76</v>
      </c>
      <c r="C83" t="str">
        <f t="shared" si="4"/>
        <v>13-26K</v>
      </c>
      <c r="D83">
        <v>13</v>
      </c>
      <c r="E83">
        <v>26</v>
      </c>
      <c r="F83" t="s">
        <v>562</v>
      </c>
      <c r="G83">
        <f t="shared" si="5"/>
        <v>19.5</v>
      </c>
    </row>
    <row r="84" spans="1:7">
      <c r="A84" s="1" t="s">
        <v>15</v>
      </c>
      <c r="B84" s="1" t="s">
        <v>76</v>
      </c>
      <c r="C84" t="str">
        <f t="shared" si="4"/>
        <v>20-40K</v>
      </c>
      <c r="D84">
        <v>20</v>
      </c>
      <c r="E84">
        <v>40</v>
      </c>
      <c r="F84" t="s">
        <v>564</v>
      </c>
      <c r="G84">
        <f t="shared" si="5"/>
        <v>30</v>
      </c>
    </row>
    <row r="85" spans="1:7">
      <c r="A85" s="1" t="s">
        <v>15</v>
      </c>
      <c r="B85" s="1" t="s">
        <v>76</v>
      </c>
      <c r="C85" t="str">
        <f t="shared" si="4"/>
        <v>14-25K</v>
      </c>
      <c r="D85">
        <v>14</v>
      </c>
      <c r="E85">
        <v>25</v>
      </c>
      <c r="F85" t="s">
        <v>562</v>
      </c>
      <c r="G85">
        <f t="shared" si="5"/>
        <v>19.5</v>
      </c>
    </row>
    <row r="86" spans="1:7">
      <c r="A86" s="1" t="s">
        <v>19</v>
      </c>
      <c r="B86" s="1" t="s">
        <v>24</v>
      </c>
      <c r="C86" t="str">
        <f t="shared" si="4"/>
        <v>20-30K</v>
      </c>
      <c r="D86">
        <v>20</v>
      </c>
      <c r="E86">
        <v>30</v>
      </c>
      <c r="F86" t="s">
        <v>565</v>
      </c>
      <c r="G86">
        <f t="shared" si="5"/>
        <v>25</v>
      </c>
    </row>
    <row r="87" spans="1:7">
      <c r="A87" s="1" t="s">
        <v>15</v>
      </c>
      <c r="B87" s="1" t="s">
        <v>76</v>
      </c>
      <c r="C87" t="str">
        <f t="shared" si="4"/>
        <v>12-24K</v>
      </c>
      <c r="D87">
        <v>12</v>
      </c>
      <c r="E87">
        <v>24</v>
      </c>
      <c r="F87" t="s">
        <v>562</v>
      </c>
      <c r="G87">
        <f t="shared" si="5"/>
        <v>18</v>
      </c>
    </row>
    <row r="88" spans="1:7">
      <c r="A88" s="1" t="s">
        <v>19</v>
      </c>
      <c r="B88" s="1" t="s">
        <v>24</v>
      </c>
      <c r="C88" t="str">
        <f t="shared" si="4"/>
        <v>11-20K</v>
      </c>
      <c r="D88">
        <v>11</v>
      </c>
      <c r="E88">
        <v>20</v>
      </c>
      <c r="F88" t="s">
        <v>562</v>
      </c>
      <c r="G88">
        <f t="shared" si="5"/>
        <v>15.5</v>
      </c>
    </row>
    <row r="89" spans="1:7">
      <c r="A89" s="1" t="s">
        <v>11</v>
      </c>
      <c r="B89" s="1" t="s">
        <v>12</v>
      </c>
      <c r="C89" t="str">
        <f t="shared" si="4"/>
        <v>10-15K</v>
      </c>
      <c r="D89">
        <v>10</v>
      </c>
      <c r="E89">
        <v>15</v>
      </c>
      <c r="F89" t="s">
        <v>562</v>
      </c>
      <c r="G89">
        <f t="shared" si="5"/>
        <v>12.5</v>
      </c>
    </row>
    <row r="90" spans="1:7">
      <c r="A90" s="1" t="s">
        <v>15</v>
      </c>
      <c r="B90" s="1" t="s">
        <v>76</v>
      </c>
      <c r="C90" t="str">
        <f t="shared" si="4"/>
        <v>12-24K</v>
      </c>
      <c r="D90">
        <v>12</v>
      </c>
      <c r="E90">
        <v>24</v>
      </c>
      <c r="G90">
        <f t="shared" si="5"/>
        <v>18</v>
      </c>
    </row>
    <row r="91" spans="1:7">
      <c r="A91" s="1" t="s">
        <v>19</v>
      </c>
      <c r="B91" s="1" t="s">
        <v>24</v>
      </c>
      <c r="C91" t="str">
        <f t="shared" si="4"/>
        <v>15-25K</v>
      </c>
      <c r="D91">
        <v>15</v>
      </c>
      <c r="E91">
        <v>25</v>
      </c>
      <c r="F91" t="s">
        <v>563</v>
      </c>
      <c r="G91">
        <f t="shared" si="5"/>
        <v>20</v>
      </c>
    </row>
    <row r="92" spans="1:7">
      <c r="A92" s="1" t="s">
        <v>15</v>
      </c>
      <c r="B92" s="1" t="s">
        <v>76</v>
      </c>
      <c r="C92" t="str">
        <f t="shared" si="4"/>
        <v>15-30K</v>
      </c>
      <c r="D92">
        <v>15</v>
      </c>
      <c r="E92">
        <v>30</v>
      </c>
      <c r="F92" t="s">
        <v>562</v>
      </c>
      <c r="G92">
        <f t="shared" si="5"/>
        <v>22.5</v>
      </c>
    </row>
    <row r="93" spans="1:7">
      <c r="A93" s="1" t="s">
        <v>19</v>
      </c>
      <c r="B93" s="1" t="s">
        <v>24</v>
      </c>
      <c r="C93" t="str">
        <f t="shared" si="4"/>
        <v>12-20K</v>
      </c>
      <c r="D93">
        <v>12</v>
      </c>
      <c r="E93">
        <v>20</v>
      </c>
      <c r="F93" t="s">
        <v>562</v>
      </c>
      <c r="G93">
        <f t="shared" si="5"/>
        <v>16</v>
      </c>
    </row>
    <row r="94" spans="1:7">
      <c r="A94" s="1" t="s">
        <v>15</v>
      </c>
      <c r="B94" s="1" t="s">
        <v>76</v>
      </c>
      <c r="C94" t="str">
        <f t="shared" si="4"/>
        <v>11-20K</v>
      </c>
      <c r="D94">
        <v>11</v>
      </c>
      <c r="E94">
        <v>20</v>
      </c>
      <c r="F94" t="s">
        <v>562</v>
      </c>
      <c r="G94">
        <f t="shared" si="5"/>
        <v>15.5</v>
      </c>
    </row>
    <row r="95" spans="1:7">
      <c r="A95" s="1" t="s">
        <v>101</v>
      </c>
      <c r="B95" s="1" t="s">
        <v>76</v>
      </c>
      <c r="C95" t="str">
        <f t="shared" si="4"/>
        <v>15-30K</v>
      </c>
      <c r="D95">
        <v>15</v>
      </c>
      <c r="E95">
        <v>30</v>
      </c>
      <c r="F95" t="s">
        <v>562</v>
      </c>
      <c r="G95">
        <f t="shared" si="5"/>
        <v>22.5</v>
      </c>
    </row>
    <row r="96" spans="1:7">
      <c r="A96" s="1" t="s">
        <v>15</v>
      </c>
      <c r="B96" s="1" t="s">
        <v>76</v>
      </c>
      <c r="C96" t="str">
        <f t="shared" si="4"/>
        <v>12-20K</v>
      </c>
      <c r="D96">
        <v>12</v>
      </c>
      <c r="E96">
        <v>20</v>
      </c>
      <c r="F96" t="s">
        <v>562</v>
      </c>
      <c r="G96">
        <f t="shared" si="5"/>
        <v>16</v>
      </c>
    </row>
    <row r="97" spans="1:7">
      <c r="A97" s="1" t="s">
        <v>15</v>
      </c>
      <c r="B97" s="1" t="s">
        <v>76</v>
      </c>
      <c r="C97" t="str">
        <f t="shared" si="4"/>
        <v>15-25K</v>
      </c>
      <c r="D97">
        <v>15</v>
      </c>
      <c r="E97">
        <v>25</v>
      </c>
      <c r="F97" t="s">
        <v>562</v>
      </c>
      <c r="G97">
        <f t="shared" si="5"/>
        <v>20</v>
      </c>
    </row>
    <row r="98" spans="1:7">
      <c r="A98" s="1" t="s">
        <v>15</v>
      </c>
      <c r="B98" s="1" t="s">
        <v>76</v>
      </c>
      <c r="C98" t="str">
        <f t="shared" ref="C98:C129" si="6">D98&amp;"-"&amp;E98&amp;"K"</f>
        <v>12-24K</v>
      </c>
      <c r="D98">
        <v>12</v>
      </c>
      <c r="E98">
        <v>24</v>
      </c>
      <c r="F98" t="s">
        <v>562</v>
      </c>
      <c r="G98">
        <f t="shared" ref="G98:G129" si="7">(D98+E98)/2</f>
        <v>18</v>
      </c>
    </row>
    <row r="99" spans="1:7">
      <c r="A99" s="1" t="s">
        <v>15</v>
      </c>
      <c r="B99" s="1" t="s">
        <v>76</v>
      </c>
      <c r="C99" t="str">
        <f t="shared" si="6"/>
        <v>12-22K</v>
      </c>
      <c r="D99">
        <v>12</v>
      </c>
      <c r="E99">
        <v>22</v>
      </c>
      <c r="F99" t="s">
        <v>562</v>
      </c>
      <c r="G99">
        <f t="shared" si="7"/>
        <v>17</v>
      </c>
    </row>
    <row r="100" spans="1:7">
      <c r="A100" s="1" t="s">
        <v>11</v>
      </c>
      <c r="B100" s="1" t="s">
        <v>12</v>
      </c>
      <c r="C100" t="str">
        <f t="shared" si="6"/>
        <v>12-17K</v>
      </c>
      <c r="D100">
        <v>12</v>
      </c>
      <c r="E100">
        <v>17</v>
      </c>
      <c r="F100" t="s">
        <v>562</v>
      </c>
      <c r="G100">
        <f t="shared" si="7"/>
        <v>14.5</v>
      </c>
    </row>
    <row r="101" spans="1:7">
      <c r="A101" s="1" t="s">
        <v>15</v>
      </c>
      <c r="B101" s="1" t="s">
        <v>76</v>
      </c>
      <c r="C101" t="str">
        <f t="shared" si="6"/>
        <v>14-28K</v>
      </c>
      <c r="D101">
        <v>14</v>
      </c>
      <c r="E101">
        <v>28</v>
      </c>
      <c r="F101" t="s">
        <v>562</v>
      </c>
      <c r="G101">
        <f t="shared" si="7"/>
        <v>21</v>
      </c>
    </row>
    <row r="102" spans="1:7">
      <c r="A102" s="1" t="s">
        <v>19</v>
      </c>
      <c r="B102" s="1" t="s">
        <v>24</v>
      </c>
      <c r="C102" t="str">
        <f t="shared" si="6"/>
        <v>20-30K</v>
      </c>
      <c r="D102">
        <v>20</v>
      </c>
      <c r="E102">
        <v>30</v>
      </c>
      <c r="F102" t="s">
        <v>565</v>
      </c>
      <c r="G102">
        <f t="shared" si="7"/>
        <v>25</v>
      </c>
    </row>
    <row r="103" spans="1:7">
      <c r="A103" s="1" t="s">
        <v>15</v>
      </c>
      <c r="B103" s="1" t="s">
        <v>76</v>
      </c>
      <c r="C103" t="str">
        <f t="shared" si="6"/>
        <v>12-24K</v>
      </c>
      <c r="D103">
        <v>12</v>
      </c>
      <c r="E103">
        <v>24</v>
      </c>
      <c r="G103">
        <f t="shared" si="7"/>
        <v>18</v>
      </c>
    </row>
    <row r="104" spans="1:7">
      <c r="A104" s="1" t="s">
        <v>15</v>
      </c>
      <c r="B104" s="1" t="s">
        <v>76</v>
      </c>
      <c r="C104" t="str">
        <f t="shared" si="6"/>
        <v>15-30K</v>
      </c>
      <c r="D104">
        <v>15</v>
      </c>
      <c r="E104">
        <v>30</v>
      </c>
      <c r="F104" t="s">
        <v>562</v>
      </c>
      <c r="G104">
        <f t="shared" si="7"/>
        <v>22.5</v>
      </c>
    </row>
    <row r="105" spans="1:7">
      <c r="A105" s="1" t="s">
        <v>19</v>
      </c>
      <c r="B105" s="1" t="s">
        <v>24</v>
      </c>
      <c r="C105" t="str">
        <f t="shared" si="6"/>
        <v>15-25K</v>
      </c>
      <c r="D105">
        <v>15</v>
      </c>
      <c r="E105">
        <v>25</v>
      </c>
      <c r="F105" t="s">
        <v>563</v>
      </c>
      <c r="G105">
        <f t="shared" si="7"/>
        <v>20</v>
      </c>
    </row>
    <row r="106" spans="1:7">
      <c r="A106" s="1" t="s">
        <v>15</v>
      </c>
      <c r="B106" s="1" t="s">
        <v>76</v>
      </c>
      <c r="C106" t="str">
        <f t="shared" si="6"/>
        <v>12-24K</v>
      </c>
      <c r="D106">
        <v>12</v>
      </c>
      <c r="E106">
        <v>24</v>
      </c>
      <c r="G106">
        <f t="shared" si="7"/>
        <v>18</v>
      </c>
    </row>
    <row r="107" spans="1:7">
      <c r="A107" s="1" t="s">
        <v>15</v>
      </c>
      <c r="B107" s="1" t="s">
        <v>76</v>
      </c>
      <c r="C107" t="str">
        <f t="shared" si="6"/>
        <v>15-30K</v>
      </c>
      <c r="D107">
        <v>15</v>
      </c>
      <c r="E107">
        <v>30</v>
      </c>
      <c r="F107" t="s">
        <v>562</v>
      </c>
      <c r="G107">
        <f t="shared" si="7"/>
        <v>22.5</v>
      </c>
    </row>
    <row r="108" spans="1:7">
      <c r="A108" s="1" t="s">
        <v>15</v>
      </c>
      <c r="B108" s="1" t="s">
        <v>76</v>
      </c>
      <c r="C108" t="str">
        <f t="shared" si="6"/>
        <v>12-24K</v>
      </c>
      <c r="D108">
        <v>12</v>
      </c>
      <c r="E108">
        <v>24</v>
      </c>
      <c r="F108" t="s">
        <v>562</v>
      </c>
      <c r="G108">
        <f t="shared" si="7"/>
        <v>18</v>
      </c>
    </row>
    <row r="109" spans="1:7">
      <c r="A109" s="1" t="s">
        <v>11</v>
      </c>
      <c r="B109" s="1" t="s">
        <v>68</v>
      </c>
      <c r="C109" t="str">
        <f t="shared" si="6"/>
        <v>11-20K</v>
      </c>
      <c r="D109">
        <v>11</v>
      </c>
      <c r="E109">
        <v>20</v>
      </c>
      <c r="F109" t="s">
        <v>562</v>
      </c>
      <c r="G109">
        <f t="shared" si="7"/>
        <v>15.5</v>
      </c>
    </row>
    <row r="110" spans="1:7">
      <c r="A110" s="1" t="s">
        <v>101</v>
      </c>
      <c r="B110" s="1" t="s">
        <v>24</v>
      </c>
      <c r="C110" t="str">
        <f t="shared" si="6"/>
        <v>20-40K</v>
      </c>
      <c r="D110">
        <v>20</v>
      </c>
      <c r="E110">
        <v>40</v>
      </c>
      <c r="F110" t="s">
        <v>562</v>
      </c>
      <c r="G110">
        <f t="shared" si="7"/>
        <v>30</v>
      </c>
    </row>
    <row r="111" spans="1:7">
      <c r="A111" s="1" t="s">
        <v>19</v>
      </c>
      <c r="B111" s="1" t="s">
        <v>24</v>
      </c>
      <c r="C111" t="str">
        <f t="shared" si="6"/>
        <v>15-25K</v>
      </c>
      <c r="D111">
        <v>15</v>
      </c>
      <c r="E111">
        <v>25</v>
      </c>
      <c r="F111" t="s">
        <v>563</v>
      </c>
      <c r="G111">
        <f t="shared" si="7"/>
        <v>20</v>
      </c>
    </row>
    <row r="112" spans="1:7">
      <c r="A112" s="1" t="s">
        <v>11</v>
      </c>
      <c r="B112" s="1" t="s">
        <v>12</v>
      </c>
      <c r="C112" t="str">
        <f t="shared" si="6"/>
        <v>10-15K</v>
      </c>
      <c r="D112">
        <v>10</v>
      </c>
      <c r="E112">
        <v>15</v>
      </c>
      <c r="G112">
        <f t="shared" si="7"/>
        <v>12.5</v>
      </c>
    </row>
    <row r="113" spans="1:7">
      <c r="A113" s="1" t="s">
        <v>15</v>
      </c>
      <c r="B113" s="1" t="s">
        <v>76</v>
      </c>
      <c r="C113" t="str">
        <f t="shared" si="6"/>
        <v>30-55K</v>
      </c>
      <c r="D113">
        <v>30</v>
      </c>
      <c r="E113">
        <v>55</v>
      </c>
      <c r="F113" t="s">
        <v>566</v>
      </c>
      <c r="G113">
        <f t="shared" si="7"/>
        <v>42.5</v>
      </c>
    </row>
    <row r="114" spans="1:7">
      <c r="A114" s="1" t="s">
        <v>11</v>
      </c>
      <c r="B114" s="1" t="s">
        <v>12</v>
      </c>
      <c r="C114" t="str">
        <f t="shared" si="6"/>
        <v>12-16K</v>
      </c>
      <c r="D114">
        <v>12</v>
      </c>
      <c r="E114">
        <v>16</v>
      </c>
      <c r="G114">
        <f t="shared" si="7"/>
        <v>14</v>
      </c>
    </row>
    <row r="115" spans="1:7">
      <c r="A115" s="1" t="s">
        <v>11</v>
      </c>
      <c r="B115" s="1" t="s">
        <v>12</v>
      </c>
      <c r="C115" t="str">
        <f t="shared" si="6"/>
        <v>8-13K</v>
      </c>
      <c r="D115">
        <v>8</v>
      </c>
      <c r="E115">
        <v>13</v>
      </c>
      <c r="F115" t="s">
        <v>567</v>
      </c>
      <c r="G115">
        <f t="shared" si="7"/>
        <v>10.5</v>
      </c>
    </row>
    <row r="116" spans="1:7">
      <c r="A116" s="1" t="s">
        <v>15</v>
      </c>
      <c r="B116" s="1" t="s">
        <v>68</v>
      </c>
      <c r="C116" t="str">
        <f t="shared" si="6"/>
        <v>25-50K</v>
      </c>
      <c r="D116">
        <v>25</v>
      </c>
      <c r="E116">
        <v>50</v>
      </c>
      <c r="F116" t="s">
        <v>565</v>
      </c>
      <c r="G116">
        <f t="shared" si="7"/>
        <v>37.5</v>
      </c>
    </row>
    <row r="117" spans="1:7">
      <c r="A117" s="1" t="s">
        <v>19</v>
      </c>
      <c r="B117" s="1" t="s">
        <v>24</v>
      </c>
      <c r="C117" t="str">
        <f t="shared" si="6"/>
        <v>15-16K</v>
      </c>
      <c r="D117">
        <v>15</v>
      </c>
      <c r="E117">
        <v>16</v>
      </c>
      <c r="G117">
        <f t="shared" si="7"/>
        <v>15.5</v>
      </c>
    </row>
    <row r="118" spans="1:7">
      <c r="A118" s="1" t="s">
        <v>23</v>
      </c>
      <c r="B118" s="1" t="s">
        <v>24</v>
      </c>
      <c r="C118" t="str">
        <f t="shared" si="6"/>
        <v>30-60K</v>
      </c>
      <c r="D118">
        <v>30</v>
      </c>
      <c r="E118">
        <v>60</v>
      </c>
      <c r="F118" t="s">
        <v>565</v>
      </c>
      <c r="G118">
        <f t="shared" si="7"/>
        <v>45</v>
      </c>
    </row>
    <row r="119" spans="1:7">
      <c r="A119" s="1" t="s">
        <v>15</v>
      </c>
      <c r="B119" s="1" t="s">
        <v>76</v>
      </c>
      <c r="C119" t="str">
        <f t="shared" si="6"/>
        <v>20-40K</v>
      </c>
      <c r="D119">
        <v>20</v>
      </c>
      <c r="E119">
        <v>40</v>
      </c>
      <c r="G119">
        <f t="shared" si="7"/>
        <v>30</v>
      </c>
    </row>
    <row r="120" spans="1:7">
      <c r="A120" s="1" t="s">
        <v>15</v>
      </c>
      <c r="B120" s="1" t="s">
        <v>12</v>
      </c>
      <c r="C120" t="str">
        <f t="shared" si="6"/>
        <v>22-40K</v>
      </c>
      <c r="D120">
        <v>22</v>
      </c>
      <c r="E120">
        <v>40</v>
      </c>
      <c r="F120" t="s">
        <v>565</v>
      </c>
      <c r="G120">
        <f t="shared" si="7"/>
        <v>31</v>
      </c>
    </row>
    <row r="121" spans="1:7">
      <c r="A121" s="1" t="s">
        <v>19</v>
      </c>
      <c r="B121" s="1" t="s">
        <v>24</v>
      </c>
      <c r="C121" t="str">
        <f t="shared" si="6"/>
        <v>30-50K</v>
      </c>
      <c r="D121">
        <v>30</v>
      </c>
      <c r="E121">
        <v>50</v>
      </c>
      <c r="F121" t="s">
        <v>567</v>
      </c>
      <c r="G121">
        <f t="shared" si="7"/>
        <v>40</v>
      </c>
    </row>
    <row r="122" spans="1:7">
      <c r="A122" s="1" t="s">
        <v>19</v>
      </c>
      <c r="B122" s="1" t="s">
        <v>68</v>
      </c>
      <c r="C122" t="str">
        <f t="shared" si="6"/>
        <v>30-60K</v>
      </c>
      <c r="D122">
        <v>30</v>
      </c>
      <c r="E122">
        <v>60</v>
      </c>
      <c r="F122" t="s">
        <v>565</v>
      </c>
      <c r="G122">
        <f t="shared" si="7"/>
        <v>45</v>
      </c>
    </row>
    <row r="123" spans="1:7">
      <c r="A123" s="1" t="s">
        <v>23</v>
      </c>
      <c r="B123" s="1" t="s">
        <v>24</v>
      </c>
      <c r="C123" t="str">
        <f t="shared" si="6"/>
        <v>35-65K</v>
      </c>
      <c r="D123">
        <v>35</v>
      </c>
      <c r="E123">
        <v>65</v>
      </c>
      <c r="F123" t="s">
        <v>565</v>
      </c>
      <c r="G123">
        <f t="shared" si="7"/>
        <v>50</v>
      </c>
    </row>
    <row r="124" spans="1:7">
      <c r="A124" s="1" t="s">
        <v>19</v>
      </c>
      <c r="B124" s="1" t="s">
        <v>24</v>
      </c>
      <c r="C124" t="str">
        <f t="shared" si="6"/>
        <v>25-40K</v>
      </c>
      <c r="D124">
        <v>25</v>
      </c>
      <c r="E124">
        <v>40</v>
      </c>
      <c r="G124">
        <f t="shared" si="7"/>
        <v>32.5</v>
      </c>
    </row>
    <row r="125" spans="1:7">
      <c r="A125" s="1" t="s">
        <v>15</v>
      </c>
      <c r="B125" s="1" t="s">
        <v>76</v>
      </c>
      <c r="C125" t="str">
        <f t="shared" si="6"/>
        <v>25-50K</v>
      </c>
      <c r="D125">
        <v>25</v>
      </c>
      <c r="E125">
        <v>50</v>
      </c>
      <c r="F125" t="s">
        <v>565</v>
      </c>
      <c r="G125">
        <f t="shared" si="7"/>
        <v>37.5</v>
      </c>
    </row>
    <row r="126" spans="1:7">
      <c r="A126" s="1" t="s">
        <v>19</v>
      </c>
      <c r="B126" s="1" t="s">
        <v>24</v>
      </c>
      <c r="C126" t="str">
        <f t="shared" si="6"/>
        <v>30-35K</v>
      </c>
      <c r="D126">
        <v>30</v>
      </c>
      <c r="E126">
        <v>35</v>
      </c>
      <c r="G126">
        <f t="shared" si="7"/>
        <v>32.5</v>
      </c>
    </row>
    <row r="127" spans="1:7">
      <c r="A127" s="1" t="s">
        <v>19</v>
      </c>
      <c r="B127" s="1" t="s">
        <v>76</v>
      </c>
      <c r="C127" t="str">
        <f t="shared" si="6"/>
        <v>30-50K</v>
      </c>
      <c r="D127">
        <v>30</v>
      </c>
      <c r="E127">
        <v>50</v>
      </c>
      <c r="F127" t="s">
        <v>565</v>
      </c>
      <c r="G127">
        <f t="shared" si="7"/>
        <v>40</v>
      </c>
    </row>
    <row r="128" spans="1:7">
      <c r="A128" s="1" t="s">
        <v>15</v>
      </c>
      <c r="B128" s="1" t="s">
        <v>76</v>
      </c>
      <c r="C128" t="str">
        <f t="shared" si="6"/>
        <v>30-60K</v>
      </c>
      <c r="D128">
        <v>30</v>
      </c>
      <c r="E128">
        <v>60</v>
      </c>
      <c r="F128" t="s">
        <v>565</v>
      </c>
      <c r="G128">
        <f t="shared" si="7"/>
        <v>45</v>
      </c>
    </row>
    <row r="129" spans="1:7">
      <c r="A129" s="1" t="s">
        <v>15</v>
      </c>
      <c r="B129" s="1" t="s">
        <v>76</v>
      </c>
      <c r="C129" t="str">
        <f t="shared" si="6"/>
        <v>25-30K</v>
      </c>
      <c r="D129">
        <v>25</v>
      </c>
      <c r="E129">
        <v>30</v>
      </c>
      <c r="G129">
        <f t="shared" si="7"/>
        <v>27.5</v>
      </c>
    </row>
    <row r="130" spans="1:7">
      <c r="A130" s="1" t="s">
        <v>19</v>
      </c>
      <c r="B130" s="1" t="s">
        <v>76</v>
      </c>
      <c r="C130" t="str">
        <f t="shared" ref="C130:C154" si="8">D130&amp;"-"&amp;E130&amp;"K"</f>
        <v>35-65K</v>
      </c>
      <c r="D130">
        <v>35</v>
      </c>
      <c r="E130">
        <v>65</v>
      </c>
      <c r="F130" t="s">
        <v>565</v>
      </c>
      <c r="G130">
        <f t="shared" ref="G130:G154" si="9">(D130+E130)/2</f>
        <v>50</v>
      </c>
    </row>
    <row r="131" spans="1:7">
      <c r="A131" s="1" t="s">
        <v>15</v>
      </c>
      <c r="B131" s="1" t="s">
        <v>76</v>
      </c>
      <c r="C131" t="str">
        <f t="shared" si="8"/>
        <v>20-40K</v>
      </c>
      <c r="D131">
        <v>20</v>
      </c>
      <c r="E131">
        <v>40</v>
      </c>
      <c r="F131" t="s">
        <v>565</v>
      </c>
      <c r="G131">
        <f t="shared" si="9"/>
        <v>30</v>
      </c>
    </row>
    <row r="132" spans="1:7">
      <c r="A132" s="1" t="s">
        <v>19</v>
      </c>
      <c r="B132" s="1" t="s">
        <v>76</v>
      </c>
      <c r="C132" t="str">
        <f t="shared" si="8"/>
        <v>40-60K</v>
      </c>
      <c r="D132">
        <v>40</v>
      </c>
      <c r="E132">
        <v>60</v>
      </c>
      <c r="F132" t="s">
        <v>568</v>
      </c>
      <c r="G132">
        <f t="shared" si="9"/>
        <v>50</v>
      </c>
    </row>
    <row r="133" spans="1:7">
      <c r="A133" s="1" t="s">
        <v>19</v>
      </c>
      <c r="B133" s="1" t="s">
        <v>76</v>
      </c>
      <c r="C133" t="str">
        <f t="shared" si="8"/>
        <v>35-65K</v>
      </c>
      <c r="D133">
        <v>35</v>
      </c>
      <c r="E133">
        <v>65</v>
      </c>
      <c r="F133" t="s">
        <v>565</v>
      </c>
      <c r="G133">
        <f t="shared" si="9"/>
        <v>50</v>
      </c>
    </row>
    <row r="134" spans="1:7">
      <c r="A134" s="1" t="s">
        <v>19</v>
      </c>
      <c r="B134" s="1" t="s">
        <v>24</v>
      </c>
      <c r="C134" t="str">
        <f t="shared" si="8"/>
        <v>20-40K</v>
      </c>
      <c r="D134">
        <v>20</v>
      </c>
      <c r="E134">
        <v>40</v>
      </c>
      <c r="F134" t="s">
        <v>567</v>
      </c>
      <c r="G134">
        <f t="shared" si="9"/>
        <v>30</v>
      </c>
    </row>
    <row r="135" spans="1:7">
      <c r="A135" s="1" t="s">
        <v>23</v>
      </c>
      <c r="B135" s="1" t="s">
        <v>24</v>
      </c>
      <c r="C135" t="str">
        <f t="shared" si="8"/>
        <v>26-50K</v>
      </c>
      <c r="D135">
        <v>26</v>
      </c>
      <c r="E135">
        <v>50</v>
      </c>
      <c r="F135" t="s">
        <v>565</v>
      </c>
      <c r="G135">
        <f t="shared" si="9"/>
        <v>38</v>
      </c>
    </row>
    <row r="136" spans="1:7">
      <c r="A136" s="1" t="s">
        <v>19</v>
      </c>
      <c r="B136" s="1" t="s">
        <v>76</v>
      </c>
      <c r="C136" t="str">
        <f t="shared" si="8"/>
        <v>30-60K</v>
      </c>
      <c r="D136">
        <v>30</v>
      </c>
      <c r="E136">
        <v>60</v>
      </c>
      <c r="F136" t="s">
        <v>565</v>
      </c>
      <c r="G136">
        <f t="shared" si="9"/>
        <v>45</v>
      </c>
    </row>
    <row r="137" spans="1:7">
      <c r="A137" s="1" t="s">
        <v>23</v>
      </c>
      <c r="B137" s="1" t="s">
        <v>24</v>
      </c>
      <c r="C137" t="str">
        <f t="shared" si="8"/>
        <v>30-60K</v>
      </c>
      <c r="D137">
        <v>30</v>
      </c>
      <c r="E137">
        <v>60</v>
      </c>
      <c r="F137" t="s">
        <v>565</v>
      </c>
      <c r="G137">
        <f t="shared" si="9"/>
        <v>45</v>
      </c>
    </row>
    <row r="138" spans="1:7">
      <c r="A138" s="1" t="s">
        <v>11</v>
      </c>
      <c r="B138" s="1" t="s">
        <v>12</v>
      </c>
      <c r="C138" t="str">
        <f t="shared" si="8"/>
        <v>12-16K</v>
      </c>
      <c r="D138">
        <v>12</v>
      </c>
      <c r="E138">
        <v>16</v>
      </c>
      <c r="G138">
        <f t="shared" si="9"/>
        <v>14</v>
      </c>
    </row>
    <row r="139" spans="1:7">
      <c r="A139" s="1" t="s">
        <v>11</v>
      </c>
      <c r="B139" s="1" t="s">
        <v>12</v>
      </c>
      <c r="C139" t="str">
        <f t="shared" si="8"/>
        <v>12-16K</v>
      </c>
      <c r="D139">
        <v>12</v>
      </c>
      <c r="E139">
        <v>16</v>
      </c>
      <c r="G139">
        <f t="shared" si="9"/>
        <v>14</v>
      </c>
    </row>
    <row r="140" spans="1:7">
      <c r="A140" s="1" t="s">
        <v>15</v>
      </c>
      <c r="B140" s="1" t="s">
        <v>68</v>
      </c>
      <c r="C140" t="str">
        <f t="shared" si="8"/>
        <v>25-50K</v>
      </c>
      <c r="D140">
        <v>25</v>
      </c>
      <c r="E140">
        <v>50</v>
      </c>
      <c r="F140" t="s">
        <v>565</v>
      </c>
      <c r="G140">
        <f t="shared" si="9"/>
        <v>37.5</v>
      </c>
    </row>
    <row r="141" spans="1:7">
      <c r="A141" s="1" t="s">
        <v>19</v>
      </c>
      <c r="B141" s="1" t="s">
        <v>76</v>
      </c>
      <c r="C141" t="str">
        <f t="shared" si="8"/>
        <v>30-60K</v>
      </c>
      <c r="D141">
        <v>30</v>
      </c>
      <c r="E141">
        <v>60</v>
      </c>
      <c r="F141" t="s">
        <v>566</v>
      </c>
      <c r="G141">
        <f t="shared" si="9"/>
        <v>45</v>
      </c>
    </row>
    <row r="142" spans="1:7">
      <c r="A142" s="1" t="s">
        <v>15</v>
      </c>
      <c r="B142" s="1" t="s">
        <v>68</v>
      </c>
      <c r="C142" t="str">
        <f t="shared" si="8"/>
        <v>25-45K</v>
      </c>
      <c r="D142">
        <v>25</v>
      </c>
      <c r="E142">
        <v>45</v>
      </c>
      <c r="F142" t="s">
        <v>565</v>
      </c>
      <c r="G142">
        <f t="shared" si="9"/>
        <v>35</v>
      </c>
    </row>
    <row r="143" spans="1:7">
      <c r="A143" s="1" t="s">
        <v>23</v>
      </c>
      <c r="B143" s="1" t="s">
        <v>24</v>
      </c>
      <c r="C143" t="str">
        <f t="shared" si="8"/>
        <v>30-60K</v>
      </c>
      <c r="D143">
        <v>30</v>
      </c>
      <c r="E143">
        <v>60</v>
      </c>
      <c r="F143" t="s">
        <v>565</v>
      </c>
      <c r="G143">
        <f t="shared" si="9"/>
        <v>45</v>
      </c>
    </row>
    <row r="144" spans="1:7">
      <c r="A144" s="1" t="s">
        <v>23</v>
      </c>
      <c r="B144" s="1" t="s">
        <v>24</v>
      </c>
      <c r="C144" t="str">
        <f t="shared" si="8"/>
        <v>30-60K</v>
      </c>
      <c r="D144">
        <v>30</v>
      </c>
      <c r="E144">
        <v>60</v>
      </c>
      <c r="F144" t="s">
        <v>567</v>
      </c>
      <c r="G144">
        <f t="shared" si="9"/>
        <v>45</v>
      </c>
    </row>
    <row r="145" spans="1:7">
      <c r="A145" s="1" t="s">
        <v>19</v>
      </c>
      <c r="B145" s="1" t="s">
        <v>76</v>
      </c>
      <c r="C145" t="str">
        <f t="shared" si="8"/>
        <v>30-60K</v>
      </c>
      <c r="D145">
        <v>30</v>
      </c>
      <c r="E145">
        <v>60</v>
      </c>
      <c r="F145" t="s">
        <v>565</v>
      </c>
      <c r="G145">
        <f t="shared" si="9"/>
        <v>45</v>
      </c>
    </row>
    <row r="146" spans="1:7">
      <c r="A146" s="1" t="s">
        <v>23</v>
      </c>
      <c r="B146" s="1" t="s">
        <v>24</v>
      </c>
      <c r="C146" t="str">
        <f t="shared" si="8"/>
        <v>30-60K</v>
      </c>
      <c r="D146">
        <v>30</v>
      </c>
      <c r="E146">
        <v>60</v>
      </c>
      <c r="F146" t="s">
        <v>565</v>
      </c>
      <c r="G146">
        <f t="shared" si="9"/>
        <v>45</v>
      </c>
    </row>
    <row r="147" spans="1:7">
      <c r="A147" s="1" t="s">
        <v>19</v>
      </c>
      <c r="B147" s="1" t="s">
        <v>76</v>
      </c>
      <c r="C147" t="str">
        <f t="shared" si="8"/>
        <v>30-60K</v>
      </c>
      <c r="D147">
        <v>30</v>
      </c>
      <c r="E147">
        <v>60</v>
      </c>
      <c r="F147" t="s">
        <v>565</v>
      </c>
      <c r="G147">
        <f t="shared" si="9"/>
        <v>45</v>
      </c>
    </row>
    <row r="148" spans="1:7">
      <c r="A148" s="1" t="s">
        <v>11</v>
      </c>
      <c r="B148" s="1" t="s">
        <v>12</v>
      </c>
      <c r="C148" t="str">
        <f t="shared" si="8"/>
        <v>10-15K</v>
      </c>
      <c r="D148">
        <v>10</v>
      </c>
      <c r="E148">
        <v>15</v>
      </c>
      <c r="G148">
        <f t="shared" si="9"/>
        <v>12.5</v>
      </c>
    </row>
    <row r="149" spans="1:7">
      <c r="A149" s="1" t="s">
        <v>11</v>
      </c>
      <c r="B149" s="1" t="s">
        <v>12</v>
      </c>
      <c r="C149" t="str">
        <f t="shared" si="8"/>
        <v>12-16K</v>
      </c>
      <c r="D149">
        <v>12</v>
      </c>
      <c r="E149">
        <v>16</v>
      </c>
      <c r="G149">
        <f t="shared" si="9"/>
        <v>14</v>
      </c>
    </row>
    <row r="150" spans="1:7">
      <c r="A150" s="1" t="s">
        <v>19</v>
      </c>
      <c r="B150" s="1" t="s">
        <v>76</v>
      </c>
      <c r="C150" t="str">
        <f t="shared" si="8"/>
        <v>30-60K</v>
      </c>
      <c r="D150">
        <v>30</v>
      </c>
      <c r="E150">
        <v>60</v>
      </c>
      <c r="F150" t="s">
        <v>566</v>
      </c>
      <c r="G150">
        <f t="shared" si="9"/>
        <v>45</v>
      </c>
    </row>
    <row r="151" spans="1:7">
      <c r="A151" s="1" t="s">
        <v>15</v>
      </c>
      <c r="B151" s="1" t="s">
        <v>76</v>
      </c>
      <c r="C151" t="str">
        <f t="shared" si="8"/>
        <v>20-40K</v>
      </c>
      <c r="D151">
        <v>20</v>
      </c>
      <c r="E151">
        <v>40</v>
      </c>
      <c r="F151" t="s">
        <v>565</v>
      </c>
      <c r="G151">
        <f t="shared" si="9"/>
        <v>30</v>
      </c>
    </row>
    <row r="152" spans="1:7">
      <c r="A152" s="1" t="s">
        <v>23</v>
      </c>
      <c r="B152" s="1" t="s">
        <v>24</v>
      </c>
      <c r="C152" t="str">
        <f t="shared" si="8"/>
        <v>30-60K</v>
      </c>
      <c r="D152">
        <v>30</v>
      </c>
      <c r="E152">
        <v>60</v>
      </c>
      <c r="F152" t="s">
        <v>565</v>
      </c>
      <c r="G152">
        <f t="shared" si="9"/>
        <v>45</v>
      </c>
    </row>
    <row r="153" spans="1:7">
      <c r="A153" s="1" t="s">
        <v>15</v>
      </c>
      <c r="B153" s="1" t="s">
        <v>76</v>
      </c>
      <c r="C153" t="str">
        <f t="shared" si="8"/>
        <v>25-50K</v>
      </c>
      <c r="D153">
        <v>25</v>
      </c>
      <c r="E153">
        <v>50</v>
      </c>
      <c r="F153" t="s">
        <v>565</v>
      </c>
      <c r="G153">
        <f t="shared" si="9"/>
        <v>37.5</v>
      </c>
    </row>
    <row r="154" spans="1:7">
      <c r="A154" s="1" t="s">
        <v>19</v>
      </c>
      <c r="B154" s="1" t="s">
        <v>24</v>
      </c>
      <c r="C154" t="str">
        <f t="shared" si="8"/>
        <v>30-50K</v>
      </c>
      <c r="D154">
        <v>30</v>
      </c>
      <c r="E154">
        <v>50</v>
      </c>
      <c r="F154" t="s">
        <v>565</v>
      </c>
      <c r="G154">
        <f t="shared" si="9"/>
        <v>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3"/>
  <sheetViews>
    <sheetView workbookViewId="0">
      <selection activeCell="J6" sqref="J6"/>
    </sheetView>
  </sheetViews>
  <sheetFormatPr defaultColWidth="9" defaultRowHeight="13.5"/>
  <cols>
    <col min="4" max="4" width="12.625"/>
    <col min="8" max="8" width="12.625"/>
    <col min="12" max="12" width="12.625"/>
    <col min="20" max="20" width="12.625"/>
  </cols>
  <sheetData>
    <row r="1" spans="2:20">
      <c r="B1" t="s">
        <v>11</v>
      </c>
      <c r="F1" t="s">
        <v>15</v>
      </c>
      <c r="J1" t="s">
        <v>19</v>
      </c>
      <c r="N1" t="s">
        <v>23</v>
      </c>
      <c r="R1" t="s">
        <v>101</v>
      </c>
    </row>
    <row r="2" spans="2:20">
      <c r="B2">
        <v>10</v>
      </c>
      <c r="C2">
        <v>11</v>
      </c>
      <c r="D2">
        <f>(B2+C2)/2</f>
        <v>10.5</v>
      </c>
      <c r="F2">
        <v>11</v>
      </c>
      <c r="G2">
        <v>22</v>
      </c>
      <c r="H2">
        <v>16.5</v>
      </c>
      <c r="J2">
        <v>15</v>
      </c>
      <c r="K2">
        <v>25</v>
      </c>
      <c r="L2">
        <v>20</v>
      </c>
      <c r="N2">
        <v>30</v>
      </c>
      <c r="O2">
        <v>60</v>
      </c>
      <c r="P2">
        <v>45</v>
      </c>
      <c r="R2">
        <v>15</v>
      </c>
      <c r="S2">
        <v>30</v>
      </c>
      <c r="T2">
        <v>22.5</v>
      </c>
    </row>
    <row r="3" spans="2:20">
      <c r="B3">
        <v>10</v>
      </c>
      <c r="C3">
        <v>15</v>
      </c>
      <c r="D3">
        <f t="shared" ref="D3:D25" si="0">(B3+C3)/2</f>
        <v>12.5</v>
      </c>
      <c r="F3">
        <v>15</v>
      </c>
      <c r="G3">
        <v>20</v>
      </c>
      <c r="H3">
        <v>17.5</v>
      </c>
      <c r="J3">
        <v>11</v>
      </c>
      <c r="K3">
        <v>20</v>
      </c>
      <c r="L3">
        <v>15.5</v>
      </c>
      <c r="N3">
        <v>35</v>
      </c>
      <c r="O3">
        <v>65</v>
      </c>
      <c r="P3">
        <v>50</v>
      </c>
      <c r="R3">
        <v>35</v>
      </c>
      <c r="S3">
        <v>65</v>
      </c>
      <c r="T3">
        <v>50</v>
      </c>
    </row>
    <row r="4" spans="2:20">
      <c r="B4">
        <v>12</v>
      </c>
      <c r="C4">
        <v>15</v>
      </c>
      <c r="D4">
        <f t="shared" si="0"/>
        <v>13.5</v>
      </c>
      <c r="F4">
        <v>12</v>
      </c>
      <c r="G4">
        <v>24</v>
      </c>
      <c r="H4">
        <v>18</v>
      </c>
      <c r="J4">
        <v>13</v>
      </c>
      <c r="K4">
        <v>14</v>
      </c>
      <c r="L4">
        <v>13.5</v>
      </c>
      <c r="N4">
        <v>26</v>
      </c>
      <c r="O4">
        <v>50</v>
      </c>
      <c r="P4">
        <v>38</v>
      </c>
      <c r="R4">
        <v>15</v>
      </c>
      <c r="S4">
        <v>30</v>
      </c>
      <c r="T4">
        <v>22.5</v>
      </c>
    </row>
    <row r="5" spans="2:20">
      <c r="B5">
        <v>10</v>
      </c>
      <c r="C5">
        <v>15</v>
      </c>
      <c r="D5">
        <f t="shared" si="0"/>
        <v>12.5</v>
      </c>
      <c r="F5">
        <v>15</v>
      </c>
      <c r="G5">
        <v>30</v>
      </c>
      <c r="H5">
        <v>22.5</v>
      </c>
      <c r="J5">
        <v>12</v>
      </c>
      <c r="K5">
        <v>20</v>
      </c>
      <c r="L5">
        <v>16</v>
      </c>
      <c r="N5">
        <v>30</v>
      </c>
      <c r="O5">
        <v>60</v>
      </c>
      <c r="P5">
        <v>45</v>
      </c>
      <c r="R5">
        <v>20</v>
      </c>
      <c r="S5">
        <v>40</v>
      </c>
      <c r="T5">
        <v>30</v>
      </c>
    </row>
    <row r="6" spans="2:20">
      <c r="B6">
        <v>11</v>
      </c>
      <c r="C6">
        <v>20</v>
      </c>
      <c r="D6">
        <f t="shared" si="0"/>
        <v>15.5</v>
      </c>
      <c r="F6">
        <v>15</v>
      </c>
      <c r="G6">
        <v>25</v>
      </c>
      <c r="H6">
        <v>20</v>
      </c>
      <c r="J6">
        <v>11</v>
      </c>
      <c r="K6">
        <v>20</v>
      </c>
      <c r="L6">
        <v>15.5</v>
      </c>
      <c r="N6">
        <v>30</v>
      </c>
      <c r="O6">
        <v>60</v>
      </c>
      <c r="P6">
        <v>45</v>
      </c>
      <c r="R6">
        <v>15</v>
      </c>
      <c r="S6">
        <v>30</v>
      </c>
      <c r="T6">
        <v>22.5</v>
      </c>
    </row>
    <row r="7" spans="2:20">
      <c r="B7">
        <v>12</v>
      </c>
      <c r="C7">
        <v>24</v>
      </c>
      <c r="D7">
        <f t="shared" si="0"/>
        <v>18</v>
      </c>
      <c r="F7">
        <v>15</v>
      </c>
      <c r="G7">
        <v>30</v>
      </c>
      <c r="H7">
        <v>22.5</v>
      </c>
      <c r="J7">
        <v>10</v>
      </c>
      <c r="K7">
        <v>15</v>
      </c>
      <c r="L7">
        <v>12.5</v>
      </c>
      <c r="N7">
        <v>30</v>
      </c>
      <c r="O7">
        <v>60</v>
      </c>
      <c r="P7">
        <v>45</v>
      </c>
      <c r="R7">
        <v>15</v>
      </c>
      <c r="S7">
        <v>30</v>
      </c>
      <c r="T7">
        <v>22.5</v>
      </c>
    </row>
    <row r="8" spans="2:20">
      <c r="B8">
        <v>11</v>
      </c>
      <c r="C8">
        <v>20</v>
      </c>
      <c r="D8">
        <f t="shared" si="0"/>
        <v>15.5</v>
      </c>
      <c r="F8">
        <v>15</v>
      </c>
      <c r="G8">
        <v>25</v>
      </c>
      <c r="H8">
        <v>20</v>
      </c>
      <c r="J8">
        <v>15</v>
      </c>
      <c r="K8">
        <v>30</v>
      </c>
      <c r="L8">
        <v>22.5</v>
      </c>
      <c r="N8">
        <v>30</v>
      </c>
      <c r="O8">
        <v>60</v>
      </c>
      <c r="P8">
        <v>45</v>
      </c>
      <c r="R8">
        <v>20</v>
      </c>
      <c r="S8">
        <v>35</v>
      </c>
      <c r="T8">
        <v>27.5</v>
      </c>
    </row>
    <row r="9" spans="2:20">
      <c r="B9">
        <v>15</v>
      </c>
      <c r="C9">
        <v>20</v>
      </c>
      <c r="D9">
        <f t="shared" si="0"/>
        <v>17.5</v>
      </c>
      <c r="F9">
        <v>12</v>
      </c>
      <c r="G9">
        <v>24</v>
      </c>
      <c r="H9">
        <v>18</v>
      </c>
      <c r="J9">
        <v>15</v>
      </c>
      <c r="K9">
        <v>25</v>
      </c>
      <c r="L9">
        <v>20</v>
      </c>
      <c r="N9">
        <v>30</v>
      </c>
      <c r="O9">
        <v>60</v>
      </c>
      <c r="P9">
        <v>45</v>
      </c>
      <c r="R9">
        <v>13</v>
      </c>
      <c r="S9">
        <v>26</v>
      </c>
      <c r="T9">
        <v>19.5</v>
      </c>
    </row>
    <row r="10" spans="2:20">
      <c r="B10">
        <v>12</v>
      </c>
      <c r="C10">
        <v>18</v>
      </c>
      <c r="D10">
        <f t="shared" si="0"/>
        <v>15</v>
      </c>
      <c r="F10">
        <v>20</v>
      </c>
      <c r="G10">
        <v>28</v>
      </c>
      <c r="H10">
        <v>24</v>
      </c>
      <c r="J10">
        <v>15</v>
      </c>
      <c r="K10">
        <v>25</v>
      </c>
      <c r="L10">
        <v>20</v>
      </c>
      <c r="M10" t="s">
        <v>9</v>
      </c>
      <c r="P10">
        <f>AVERAGE(P2:P9)</f>
        <v>44.75</v>
      </c>
      <c r="R10">
        <v>15</v>
      </c>
      <c r="S10">
        <v>25</v>
      </c>
      <c r="T10">
        <v>20</v>
      </c>
    </row>
    <row r="11" spans="2:20">
      <c r="B11">
        <v>10</v>
      </c>
      <c r="C11">
        <v>15</v>
      </c>
      <c r="D11">
        <f t="shared" si="0"/>
        <v>12.5</v>
      </c>
      <c r="F11">
        <v>12</v>
      </c>
      <c r="G11">
        <v>20</v>
      </c>
      <c r="H11">
        <v>16</v>
      </c>
      <c r="J11">
        <v>11</v>
      </c>
      <c r="K11">
        <v>20</v>
      </c>
      <c r="L11">
        <v>15.5</v>
      </c>
      <c r="M11" t="s">
        <v>561</v>
      </c>
      <c r="P11">
        <f>MEDIAN(P2:P9)</f>
        <v>45</v>
      </c>
      <c r="R11">
        <v>15</v>
      </c>
      <c r="S11">
        <v>25</v>
      </c>
      <c r="T11">
        <v>20</v>
      </c>
    </row>
    <row r="12" spans="2:20">
      <c r="B12">
        <v>11</v>
      </c>
      <c r="C12">
        <v>18</v>
      </c>
      <c r="D12">
        <f t="shared" si="0"/>
        <v>14.5</v>
      </c>
      <c r="F12">
        <v>11</v>
      </c>
      <c r="G12">
        <v>20</v>
      </c>
      <c r="H12">
        <v>15.5</v>
      </c>
      <c r="J12">
        <v>15</v>
      </c>
      <c r="K12">
        <v>30</v>
      </c>
      <c r="L12">
        <v>22.5</v>
      </c>
      <c r="R12">
        <v>15</v>
      </c>
      <c r="S12">
        <v>30</v>
      </c>
      <c r="T12">
        <v>22.5</v>
      </c>
    </row>
    <row r="13" spans="2:20">
      <c r="B13">
        <v>12</v>
      </c>
      <c r="C13">
        <v>20</v>
      </c>
      <c r="D13">
        <f t="shared" si="0"/>
        <v>16</v>
      </c>
      <c r="F13">
        <v>13</v>
      </c>
      <c r="G13">
        <v>25</v>
      </c>
      <c r="H13">
        <v>19</v>
      </c>
      <c r="J13">
        <v>15</v>
      </c>
      <c r="K13">
        <v>25</v>
      </c>
      <c r="L13">
        <v>20</v>
      </c>
      <c r="R13">
        <v>20</v>
      </c>
      <c r="S13">
        <v>40</v>
      </c>
      <c r="T13">
        <v>30</v>
      </c>
    </row>
    <row r="14" spans="2:20">
      <c r="B14">
        <v>12</v>
      </c>
      <c r="C14">
        <v>18</v>
      </c>
      <c r="D14">
        <f t="shared" si="0"/>
        <v>15</v>
      </c>
      <c r="F14">
        <v>15</v>
      </c>
      <c r="G14">
        <v>20</v>
      </c>
      <c r="H14">
        <v>17.5</v>
      </c>
      <c r="J14">
        <v>15</v>
      </c>
      <c r="K14">
        <v>30</v>
      </c>
      <c r="L14">
        <v>22.5</v>
      </c>
      <c r="Q14" t="s">
        <v>9</v>
      </c>
      <c r="T14">
        <f>AVERAGE(T2:T13)</f>
        <v>25.7916666666667</v>
      </c>
    </row>
    <row r="15" spans="2:20">
      <c r="B15">
        <v>10</v>
      </c>
      <c r="C15">
        <v>15</v>
      </c>
      <c r="D15">
        <f t="shared" si="0"/>
        <v>12.5</v>
      </c>
      <c r="F15">
        <v>12</v>
      </c>
      <c r="G15">
        <v>24</v>
      </c>
      <c r="H15">
        <v>18</v>
      </c>
      <c r="J15">
        <v>12</v>
      </c>
      <c r="K15">
        <v>20</v>
      </c>
      <c r="L15">
        <v>16</v>
      </c>
      <c r="Q15" t="s">
        <v>561</v>
      </c>
      <c r="T15">
        <f>MEDIAN(T2:T13)</f>
        <v>22.5</v>
      </c>
    </row>
    <row r="16" spans="2:20">
      <c r="B16">
        <v>12</v>
      </c>
      <c r="C16">
        <v>17</v>
      </c>
      <c r="D16">
        <f t="shared" si="0"/>
        <v>14.5</v>
      </c>
      <c r="F16">
        <v>15</v>
      </c>
      <c r="G16">
        <v>25</v>
      </c>
      <c r="H16">
        <v>20</v>
      </c>
      <c r="J16">
        <v>12</v>
      </c>
      <c r="K16">
        <v>20</v>
      </c>
      <c r="L16">
        <v>16</v>
      </c>
    </row>
    <row r="17" spans="1:12">
      <c r="B17">
        <v>11</v>
      </c>
      <c r="C17">
        <v>20</v>
      </c>
      <c r="D17">
        <f t="shared" si="0"/>
        <v>15.5</v>
      </c>
      <c r="F17">
        <v>15</v>
      </c>
      <c r="G17">
        <v>25</v>
      </c>
      <c r="H17">
        <v>20</v>
      </c>
      <c r="J17">
        <v>15</v>
      </c>
      <c r="K17">
        <v>25</v>
      </c>
      <c r="L17">
        <v>20</v>
      </c>
    </row>
    <row r="18" spans="1:12">
      <c r="B18">
        <v>10</v>
      </c>
      <c r="C18">
        <v>15</v>
      </c>
      <c r="D18">
        <f t="shared" si="0"/>
        <v>12.5</v>
      </c>
      <c r="F18">
        <v>15</v>
      </c>
      <c r="G18">
        <v>25</v>
      </c>
      <c r="H18">
        <v>20</v>
      </c>
      <c r="J18">
        <v>15</v>
      </c>
      <c r="K18">
        <v>30</v>
      </c>
      <c r="L18">
        <v>22.5</v>
      </c>
    </row>
    <row r="19" spans="1:12">
      <c r="B19">
        <v>12</v>
      </c>
      <c r="C19">
        <v>16</v>
      </c>
      <c r="D19">
        <f t="shared" si="0"/>
        <v>14</v>
      </c>
      <c r="F19">
        <v>14</v>
      </c>
      <c r="G19">
        <v>25</v>
      </c>
      <c r="H19">
        <v>19.5</v>
      </c>
      <c r="J19">
        <v>20</v>
      </c>
      <c r="K19">
        <v>30</v>
      </c>
      <c r="L19">
        <v>25</v>
      </c>
    </row>
    <row r="20" spans="1:12">
      <c r="B20">
        <v>8</v>
      </c>
      <c r="C20">
        <v>13</v>
      </c>
      <c r="D20">
        <f t="shared" si="0"/>
        <v>10.5</v>
      </c>
      <c r="F20">
        <v>15</v>
      </c>
      <c r="G20">
        <v>20</v>
      </c>
      <c r="H20">
        <v>17.5</v>
      </c>
      <c r="J20">
        <v>11</v>
      </c>
      <c r="K20">
        <v>20</v>
      </c>
      <c r="L20">
        <v>15.5</v>
      </c>
    </row>
    <row r="21" spans="1:12">
      <c r="B21">
        <v>12</v>
      </c>
      <c r="C21">
        <v>16</v>
      </c>
      <c r="D21">
        <f t="shared" si="0"/>
        <v>14</v>
      </c>
      <c r="F21">
        <v>11</v>
      </c>
      <c r="G21">
        <v>20</v>
      </c>
      <c r="H21">
        <v>15.5</v>
      </c>
      <c r="J21">
        <v>15</v>
      </c>
      <c r="K21">
        <v>25</v>
      </c>
      <c r="L21">
        <v>20</v>
      </c>
    </row>
    <row r="22" spans="1:12">
      <c r="B22">
        <v>12</v>
      </c>
      <c r="C22">
        <v>16</v>
      </c>
      <c r="D22">
        <f t="shared" si="0"/>
        <v>14</v>
      </c>
      <c r="F22">
        <v>12</v>
      </c>
      <c r="G22">
        <v>24</v>
      </c>
      <c r="H22">
        <v>18</v>
      </c>
      <c r="J22">
        <v>12</v>
      </c>
      <c r="K22">
        <v>20</v>
      </c>
      <c r="L22">
        <v>16</v>
      </c>
    </row>
    <row r="23" spans="1:12">
      <c r="B23">
        <v>10</v>
      </c>
      <c r="C23">
        <v>15</v>
      </c>
      <c r="D23">
        <f t="shared" si="0"/>
        <v>12.5</v>
      </c>
      <c r="F23">
        <v>12</v>
      </c>
      <c r="G23">
        <v>24</v>
      </c>
      <c r="H23">
        <v>18</v>
      </c>
      <c r="J23">
        <v>20</v>
      </c>
      <c r="K23">
        <v>30</v>
      </c>
      <c r="L23">
        <v>25</v>
      </c>
    </row>
    <row r="24" spans="1:12">
      <c r="B24">
        <v>12</v>
      </c>
      <c r="C24">
        <v>16</v>
      </c>
      <c r="D24">
        <f t="shared" si="0"/>
        <v>14</v>
      </c>
      <c r="F24">
        <v>15</v>
      </c>
      <c r="G24">
        <v>25</v>
      </c>
      <c r="H24">
        <v>20</v>
      </c>
      <c r="J24">
        <v>15</v>
      </c>
      <c r="K24">
        <v>25</v>
      </c>
      <c r="L24">
        <v>20</v>
      </c>
    </row>
    <row r="25" spans="1:12">
      <c r="A25" t="s">
        <v>9</v>
      </c>
      <c r="D25">
        <f>AVERAGE(D2:D24)</f>
        <v>14.0217391304348</v>
      </c>
      <c r="F25">
        <v>13</v>
      </c>
      <c r="G25">
        <v>26</v>
      </c>
      <c r="H25">
        <v>19.5</v>
      </c>
      <c r="J25">
        <v>15</v>
      </c>
      <c r="K25">
        <v>25</v>
      </c>
      <c r="L25">
        <v>20</v>
      </c>
    </row>
    <row r="26" spans="1:12">
      <c r="A26" t="s">
        <v>561</v>
      </c>
      <c r="D26">
        <f>MEDIAN(D2:D24)</f>
        <v>14</v>
      </c>
      <c r="F26">
        <v>12</v>
      </c>
      <c r="G26">
        <v>24</v>
      </c>
      <c r="H26">
        <v>18</v>
      </c>
      <c r="J26">
        <v>15</v>
      </c>
      <c r="K26">
        <v>16</v>
      </c>
      <c r="L26">
        <v>15.5</v>
      </c>
    </row>
    <row r="27" spans="1:12">
      <c r="F27">
        <v>10</v>
      </c>
      <c r="G27">
        <v>15</v>
      </c>
      <c r="H27">
        <v>12.5</v>
      </c>
      <c r="J27">
        <v>30</v>
      </c>
      <c r="K27">
        <v>50</v>
      </c>
      <c r="L27">
        <v>40</v>
      </c>
    </row>
    <row r="28" spans="1:12">
      <c r="F28">
        <v>14</v>
      </c>
      <c r="G28">
        <v>20</v>
      </c>
      <c r="H28">
        <v>17</v>
      </c>
      <c r="J28">
        <v>30</v>
      </c>
      <c r="K28">
        <v>60</v>
      </c>
      <c r="L28">
        <v>45</v>
      </c>
    </row>
    <row r="29" spans="1:12">
      <c r="F29">
        <v>15</v>
      </c>
      <c r="G29">
        <v>16</v>
      </c>
      <c r="H29">
        <v>15.5</v>
      </c>
      <c r="J29">
        <v>25</v>
      </c>
      <c r="K29">
        <v>40</v>
      </c>
      <c r="L29">
        <v>32.5</v>
      </c>
    </row>
    <row r="30" spans="1:12">
      <c r="F30">
        <v>10</v>
      </c>
      <c r="G30">
        <v>15</v>
      </c>
      <c r="H30">
        <v>12.5</v>
      </c>
      <c r="J30">
        <v>30</v>
      </c>
      <c r="K30">
        <v>35</v>
      </c>
      <c r="L30">
        <v>32.5</v>
      </c>
    </row>
    <row r="31" spans="1:12">
      <c r="F31">
        <v>8</v>
      </c>
      <c r="G31">
        <v>13</v>
      </c>
      <c r="H31">
        <v>10.5</v>
      </c>
      <c r="J31">
        <v>30</v>
      </c>
      <c r="K31">
        <v>50</v>
      </c>
      <c r="L31">
        <v>40</v>
      </c>
    </row>
    <row r="32" spans="1:12">
      <c r="F32">
        <v>15</v>
      </c>
      <c r="G32">
        <v>25</v>
      </c>
      <c r="H32">
        <v>20</v>
      </c>
      <c r="J32">
        <v>40</v>
      </c>
      <c r="K32">
        <v>60</v>
      </c>
      <c r="L32">
        <v>50</v>
      </c>
    </row>
    <row r="33" spans="6:12">
      <c r="F33">
        <v>12</v>
      </c>
      <c r="G33">
        <v>24</v>
      </c>
      <c r="H33">
        <v>18</v>
      </c>
      <c r="J33">
        <v>35</v>
      </c>
      <c r="K33">
        <v>65</v>
      </c>
      <c r="L33">
        <v>50</v>
      </c>
    </row>
    <row r="34" spans="6:12">
      <c r="F34">
        <v>13</v>
      </c>
      <c r="G34">
        <v>26</v>
      </c>
      <c r="H34">
        <v>19.5</v>
      </c>
      <c r="J34">
        <v>20</v>
      </c>
      <c r="K34">
        <v>40</v>
      </c>
      <c r="L34">
        <v>30</v>
      </c>
    </row>
    <row r="35" spans="6:12">
      <c r="F35">
        <v>12</v>
      </c>
      <c r="G35">
        <v>24</v>
      </c>
      <c r="H35">
        <v>18</v>
      </c>
      <c r="J35">
        <v>30</v>
      </c>
      <c r="K35">
        <v>60</v>
      </c>
      <c r="L35">
        <v>45</v>
      </c>
    </row>
    <row r="36" spans="6:12">
      <c r="F36">
        <v>20</v>
      </c>
      <c r="G36">
        <v>30</v>
      </c>
      <c r="H36">
        <v>25</v>
      </c>
      <c r="J36">
        <v>30</v>
      </c>
      <c r="K36">
        <v>60</v>
      </c>
      <c r="L36">
        <v>45</v>
      </c>
    </row>
    <row r="37" spans="6:12">
      <c r="F37">
        <v>11</v>
      </c>
      <c r="G37">
        <v>20</v>
      </c>
      <c r="H37">
        <v>15.5</v>
      </c>
      <c r="J37">
        <v>30</v>
      </c>
      <c r="K37">
        <v>60</v>
      </c>
      <c r="L37">
        <v>45</v>
      </c>
    </row>
    <row r="38" spans="6:12">
      <c r="F38">
        <v>10</v>
      </c>
      <c r="G38">
        <v>15</v>
      </c>
      <c r="H38">
        <v>12.5</v>
      </c>
      <c r="J38">
        <v>30</v>
      </c>
      <c r="K38">
        <v>60</v>
      </c>
      <c r="L38">
        <v>45</v>
      </c>
    </row>
    <row r="39" spans="6:12">
      <c r="F39">
        <v>15</v>
      </c>
      <c r="G39">
        <v>25</v>
      </c>
      <c r="H39">
        <v>20</v>
      </c>
      <c r="J39">
        <v>30</v>
      </c>
      <c r="K39">
        <v>60</v>
      </c>
      <c r="L39">
        <v>45</v>
      </c>
    </row>
    <row r="40" spans="6:12">
      <c r="F40">
        <v>11</v>
      </c>
      <c r="G40">
        <v>22</v>
      </c>
      <c r="H40">
        <v>16.5</v>
      </c>
      <c r="J40">
        <v>35</v>
      </c>
      <c r="K40">
        <v>65</v>
      </c>
      <c r="L40">
        <v>50</v>
      </c>
    </row>
    <row r="41" spans="6:12">
      <c r="F41">
        <v>11</v>
      </c>
      <c r="G41">
        <v>20</v>
      </c>
      <c r="H41">
        <v>15.5</v>
      </c>
      <c r="I41" t="s">
        <v>9</v>
      </c>
      <c r="J41">
        <v>30</v>
      </c>
      <c r="K41">
        <v>50</v>
      </c>
      <c r="L41">
        <v>40</v>
      </c>
    </row>
    <row r="42" spans="6:12">
      <c r="F42">
        <v>12</v>
      </c>
      <c r="G42">
        <v>24</v>
      </c>
      <c r="H42">
        <v>18</v>
      </c>
      <c r="I42" t="s">
        <v>561</v>
      </c>
      <c r="L42">
        <f>AVERAGE(L2:L41)</f>
        <v>27.5625</v>
      </c>
    </row>
    <row r="43" spans="6:12">
      <c r="F43">
        <v>13</v>
      </c>
      <c r="G43">
        <v>26</v>
      </c>
      <c r="H43">
        <v>19.5</v>
      </c>
      <c r="L43">
        <f>MEDIAN(L2:L42)</f>
        <v>22.5</v>
      </c>
    </row>
    <row r="44" spans="6:12">
      <c r="F44">
        <v>20</v>
      </c>
      <c r="G44">
        <v>40</v>
      </c>
      <c r="H44">
        <v>30</v>
      </c>
    </row>
    <row r="45" spans="6:12">
      <c r="F45">
        <v>14</v>
      </c>
      <c r="G45">
        <v>25</v>
      </c>
      <c r="H45">
        <v>19.5</v>
      </c>
    </row>
    <row r="46" spans="6:12">
      <c r="F46">
        <v>12</v>
      </c>
      <c r="G46">
        <v>24</v>
      </c>
      <c r="H46">
        <v>18</v>
      </c>
    </row>
    <row r="47" spans="6:12">
      <c r="F47">
        <v>12</v>
      </c>
      <c r="G47">
        <v>24</v>
      </c>
      <c r="H47">
        <v>18</v>
      </c>
    </row>
    <row r="48" spans="6:12">
      <c r="F48">
        <v>15</v>
      </c>
      <c r="G48">
        <v>30</v>
      </c>
      <c r="H48">
        <v>22.5</v>
      </c>
    </row>
    <row r="49" spans="6:8">
      <c r="F49">
        <v>11</v>
      </c>
      <c r="G49">
        <v>20</v>
      </c>
      <c r="H49">
        <v>15.5</v>
      </c>
    </row>
    <row r="50" spans="6:8">
      <c r="F50">
        <v>12</v>
      </c>
      <c r="G50">
        <v>20</v>
      </c>
      <c r="H50">
        <v>16</v>
      </c>
    </row>
    <row r="51" spans="6:8">
      <c r="F51">
        <v>15</v>
      </c>
      <c r="G51">
        <v>25</v>
      </c>
      <c r="H51">
        <v>20</v>
      </c>
    </row>
    <row r="52" spans="6:8">
      <c r="F52">
        <v>12</v>
      </c>
      <c r="G52">
        <v>24</v>
      </c>
      <c r="H52">
        <v>18</v>
      </c>
    </row>
    <row r="53" spans="6:8">
      <c r="F53">
        <v>12</v>
      </c>
      <c r="G53">
        <v>22</v>
      </c>
      <c r="H53">
        <v>17</v>
      </c>
    </row>
    <row r="54" spans="6:8">
      <c r="F54">
        <v>14</v>
      </c>
      <c r="G54">
        <v>28</v>
      </c>
      <c r="H54">
        <v>21</v>
      </c>
    </row>
    <row r="55" spans="6:8">
      <c r="F55">
        <v>12</v>
      </c>
      <c r="G55">
        <v>24</v>
      </c>
      <c r="H55">
        <v>18</v>
      </c>
    </row>
    <row r="56" spans="6:8">
      <c r="F56">
        <v>15</v>
      </c>
      <c r="G56">
        <v>30</v>
      </c>
      <c r="H56">
        <v>22.5</v>
      </c>
    </row>
    <row r="57" spans="6:8">
      <c r="F57">
        <v>12</v>
      </c>
      <c r="G57">
        <v>24</v>
      </c>
      <c r="H57">
        <v>18</v>
      </c>
    </row>
    <row r="58" spans="6:8">
      <c r="F58">
        <v>15</v>
      </c>
      <c r="G58">
        <v>30</v>
      </c>
      <c r="H58">
        <v>22.5</v>
      </c>
    </row>
    <row r="59" spans="6:8">
      <c r="F59">
        <v>12</v>
      </c>
      <c r="G59">
        <v>24</v>
      </c>
      <c r="H59">
        <v>18</v>
      </c>
    </row>
    <row r="60" spans="6:8">
      <c r="F60">
        <v>30</v>
      </c>
      <c r="G60">
        <v>55</v>
      </c>
      <c r="H60">
        <v>42.5</v>
      </c>
    </row>
    <row r="61" spans="6:8">
      <c r="F61">
        <v>25</v>
      </c>
      <c r="G61">
        <v>50</v>
      </c>
      <c r="H61">
        <v>37.5</v>
      </c>
    </row>
    <row r="62" spans="6:8">
      <c r="F62">
        <v>20</v>
      </c>
      <c r="G62">
        <v>40</v>
      </c>
      <c r="H62">
        <v>30</v>
      </c>
    </row>
    <row r="63" spans="6:8">
      <c r="F63">
        <v>25</v>
      </c>
      <c r="G63">
        <v>50</v>
      </c>
      <c r="H63">
        <v>37.5</v>
      </c>
    </row>
    <row r="64" spans="6:8">
      <c r="F64">
        <v>30</v>
      </c>
      <c r="G64">
        <v>60</v>
      </c>
      <c r="H64">
        <v>45</v>
      </c>
    </row>
    <row r="65" spans="5:8">
      <c r="F65">
        <v>25</v>
      </c>
      <c r="G65">
        <v>30</v>
      </c>
      <c r="H65">
        <v>27.5</v>
      </c>
    </row>
    <row r="66" spans="5:8">
      <c r="F66">
        <v>20</v>
      </c>
      <c r="G66">
        <v>40</v>
      </c>
      <c r="H66">
        <v>30</v>
      </c>
    </row>
    <row r="67" spans="5:8">
      <c r="F67">
        <v>25</v>
      </c>
      <c r="G67">
        <v>50</v>
      </c>
      <c r="H67">
        <v>37.5</v>
      </c>
    </row>
    <row r="68" spans="5:8">
      <c r="F68">
        <v>25</v>
      </c>
      <c r="G68">
        <v>45</v>
      </c>
      <c r="H68">
        <v>35</v>
      </c>
    </row>
    <row r="69" spans="5:8">
      <c r="F69">
        <v>20</v>
      </c>
      <c r="G69">
        <v>40</v>
      </c>
      <c r="H69">
        <v>30</v>
      </c>
    </row>
    <row r="70" spans="5:8">
      <c r="F70">
        <v>22</v>
      </c>
      <c r="G70">
        <v>40</v>
      </c>
      <c r="H70">
        <f>(F70+G70)/2</f>
        <v>31</v>
      </c>
    </row>
    <row r="71" spans="5:8">
      <c r="F71">
        <v>25</v>
      </c>
      <c r="G71">
        <v>50</v>
      </c>
      <c r="H71">
        <v>37.5</v>
      </c>
    </row>
    <row r="72" spans="5:8">
      <c r="E72" t="s">
        <v>9</v>
      </c>
      <c r="H72">
        <f>AVERAGE(H2:H71)</f>
        <v>21.3214285714286</v>
      </c>
    </row>
    <row r="73" spans="5:8">
      <c r="E73" t="s">
        <v>561</v>
      </c>
      <c r="H73">
        <f>MEDIAN(H2:H71)</f>
        <v>19.25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分析表</vt:lpstr>
      <vt:lpstr>数据清洗结果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xiongxing</dc:creator>
  <cp:lastModifiedBy>怡宝</cp:lastModifiedBy>
  <dcterms:created xsi:type="dcterms:W3CDTF">2026-05-11T02:44:00Z</dcterms:created>
  <dcterms:modified xsi:type="dcterms:W3CDTF">2026-05-13T01:11:18Z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6363C7FF8967489B9792C8004657A432_11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